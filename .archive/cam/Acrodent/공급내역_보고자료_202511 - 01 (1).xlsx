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GN\Desktop\"/>
    </mc:Choice>
  </mc:AlternateContent>
  <xr:revisionPtr revIDLastSave="0" documentId="13_ncr:1_{0AAE3E22-EC96-49B3-8427-37199BA6CA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작성영역" sheetId="1" r:id="rId1"/>
    <sheet name="작성요령" sheetId="3" r:id="rId2"/>
    <sheet name="Sheet1" sheetId="4" state="hidden" r:id="rId3"/>
    <sheet name="Sheet2" sheetId="2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7" i="1" l="1"/>
  <c r="P98" i="1"/>
  <c r="P99" i="1"/>
  <c r="P96" i="1"/>
  <c r="P95" i="1"/>
  <c r="P94" i="1"/>
  <c r="P86" i="1"/>
  <c r="P87" i="1"/>
  <c r="P88" i="1"/>
  <c r="P89" i="1"/>
  <c r="P90" i="1"/>
  <c r="P91" i="1"/>
  <c r="P92" i="1"/>
  <c r="P93" i="1"/>
  <c r="P85" i="1"/>
  <c r="P84" i="1"/>
  <c r="P83" i="1"/>
  <c r="P82" i="1"/>
  <c r="P81" i="1"/>
  <c r="P80" i="1"/>
  <c r="P79" i="1"/>
  <c r="P78" i="1"/>
  <c r="P73" i="1"/>
  <c r="P74" i="1"/>
  <c r="P75" i="1"/>
  <c r="P76" i="1"/>
  <c r="P77" i="1"/>
  <c r="P67" i="1"/>
  <c r="P68" i="1"/>
  <c r="P69" i="1"/>
  <c r="P70" i="1"/>
  <c r="P71" i="1"/>
  <c r="P72" i="1"/>
  <c r="P66" i="1"/>
  <c r="P65" i="1"/>
  <c r="P64" i="1"/>
  <c r="P63" i="1"/>
  <c r="P53" i="1"/>
  <c r="P54" i="1"/>
  <c r="P55" i="1"/>
  <c r="P56" i="1"/>
  <c r="P57" i="1"/>
  <c r="P58" i="1"/>
  <c r="P59" i="1"/>
  <c r="P60" i="1"/>
  <c r="P61" i="1"/>
  <c r="P62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9" i="1" l="1"/>
  <c r="P10" i="1"/>
  <c r="P11" i="1"/>
  <c r="P12" i="1"/>
  <c r="P13" i="1"/>
  <c r="P3" i="1" l="1"/>
  <c r="P4" i="1"/>
  <c r="P5" i="1"/>
  <c r="P6" i="1"/>
  <c r="P7" i="1"/>
  <c r="P8" i="1"/>
  <c r="P2" i="1" l="1"/>
</calcChain>
</file>

<file path=xl/sharedStrings.xml><?xml version="1.0" encoding="utf-8"?>
<sst xmlns="http://schemas.openxmlformats.org/spreadsheetml/2006/main" count="769" uniqueCount="275">
  <si>
    <t>코드체계</t>
    <phoneticPr fontId="1" type="noConversion"/>
  </si>
  <si>
    <t>여부</t>
    <phoneticPr fontId="1" type="noConversion"/>
  </si>
  <si>
    <t>Y</t>
    <phoneticPr fontId="1" type="noConversion"/>
  </si>
  <si>
    <t>N</t>
    <phoneticPr fontId="1" type="noConversion"/>
  </si>
  <si>
    <t>멸균방법</t>
    <phoneticPr fontId="1" type="noConversion"/>
  </si>
  <si>
    <t>멸균방법코드</t>
    <phoneticPr fontId="1" type="noConversion"/>
  </si>
  <si>
    <t>고압증기멸균</t>
    <phoneticPr fontId="1" type="noConversion"/>
  </si>
  <si>
    <t>건열멸균</t>
    <phoneticPr fontId="1" type="noConversion"/>
  </si>
  <si>
    <t>에틸렌옥사이드가스멸균</t>
    <phoneticPr fontId="1" type="noConversion"/>
  </si>
  <si>
    <t>의료용포름알데이드가스멸균</t>
    <phoneticPr fontId="1" type="noConversion"/>
  </si>
  <si>
    <t>의료용저온플라즈마멸균</t>
    <phoneticPr fontId="1" type="noConversion"/>
  </si>
  <si>
    <t>냉액멸균</t>
    <phoneticPr fontId="1" type="noConversion"/>
  </si>
  <si>
    <t>마이크로파멸균</t>
    <phoneticPr fontId="1" type="noConversion"/>
  </si>
  <si>
    <t>이산화염소가스멸균</t>
    <phoneticPr fontId="1" type="noConversion"/>
  </si>
  <si>
    <t>기타 멸균방법</t>
    <phoneticPr fontId="1" type="noConversion"/>
  </si>
  <si>
    <t>GS1</t>
    <phoneticPr fontId="1" type="noConversion"/>
  </si>
  <si>
    <t>HIBCC</t>
    <phoneticPr fontId="1" type="noConversion"/>
  </si>
  <si>
    <t>ICCBA</t>
    <phoneticPr fontId="1" type="noConversion"/>
  </si>
  <si>
    <t>일괄등록 EXCEL 작성요령</t>
    <phoneticPr fontId="1" type="noConversion"/>
  </si>
  <si>
    <t>MRI 등에 안전노출 여부</t>
    <phoneticPr fontId="1" type="noConversion"/>
  </si>
  <si>
    <t>안전</t>
    <phoneticPr fontId="1" type="noConversion"/>
  </si>
  <si>
    <t>안전하지 않음</t>
    <phoneticPr fontId="1" type="noConversion"/>
  </si>
  <si>
    <t>조건부 안전</t>
    <phoneticPr fontId="1" type="noConversion"/>
  </si>
  <si>
    <t>평가되지 않음</t>
    <phoneticPr fontId="1" type="noConversion"/>
  </si>
  <si>
    <t>해당사항 없음</t>
    <phoneticPr fontId="1" type="noConversion"/>
  </si>
  <si>
    <t>로트번호</t>
    <phoneticPr fontId="1" type="noConversion"/>
  </si>
  <si>
    <t>비고</t>
    <phoneticPr fontId="1" type="noConversion"/>
  </si>
  <si>
    <t>일련번호</t>
    <phoneticPr fontId="1" type="noConversion"/>
  </si>
  <si>
    <t>사용기한(YYMMDD)</t>
    <phoneticPr fontId="1" type="noConversion"/>
  </si>
  <si>
    <t>공급일자(YYYYMMDD)</t>
    <phoneticPr fontId="1" type="noConversion"/>
  </si>
  <si>
    <t>공급금액(원, 부가세포함)</t>
    <phoneticPr fontId="1" type="noConversion"/>
  </si>
  <si>
    <t>공급단가(원, 부가세포함)</t>
    <phoneticPr fontId="1" type="noConversion"/>
  </si>
  <si>
    <r>
      <t xml:space="preserve">      </t>
    </r>
    <r>
      <rPr>
        <b/>
        <sz val="11"/>
        <color rgb="FFFF0000"/>
        <rFont val="맑은 고딕"/>
        <family val="3"/>
        <charset val="129"/>
        <scheme val="minor"/>
      </rPr>
      <t xml:space="preserve"> ex -  GS1 : (01)08875110073464(10)A1B2C3D4E5(11)150331(17)200331(21)12345678A</t>
    </r>
    <phoneticPr fontId="1" type="noConversion"/>
  </si>
  <si>
    <r>
      <t xml:space="preserve">             </t>
    </r>
    <r>
      <rPr>
        <b/>
        <sz val="11"/>
        <color rgb="FFFF0000"/>
        <rFont val="맑은 고딕"/>
        <family val="3"/>
        <charset val="129"/>
        <scheme val="minor"/>
      </rPr>
      <t xml:space="preserve"> ICCBBA : =/A9999XYZ100T0944=,000025=A99971312345600=&gt;014032=}013032&amp;,10000000000XYZ123</t>
    </r>
    <phoneticPr fontId="1" type="noConversion"/>
  </si>
  <si>
    <t xml:space="preserve">      ex -  GS1 : A1B2C3D4E5</t>
    <phoneticPr fontId="1" type="noConversion"/>
  </si>
  <si>
    <t xml:space="preserve">             ICCBBA : 10000000000XYZ123</t>
    <phoneticPr fontId="1" type="noConversion"/>
  </si>
  <si>
    <r>
      <t xml:space="preserve">             </t>
    </r>
    <r>
      <rPr>
        <b/>
        <sz val="11"/>
        <color rgb="FFFF0000"/>
        <rFont val="맑은 고딕"/>
        <family val="3"/>
        <charset val="129"/>
        <scheme val="minor"/>
      </rPr>
      <t xml:space="preserve"> HIBCC : +H123PARTNO1234567890120/$$420020216LOT123456789012345/SXYZ456789012345678/16D20130202C</t>
    </r>
    <phoneticPr fontId="1" type="noConversion"/>
  </si>
  <si>
    <t xml:space="preserve">             HIBCC : LOT123456789012345</t>
    <phoneticPr fontId="1" type="noConversion"/>
  </si>
  <si>
    <t xml:space="preserve">             HIBCC : XYZ456789012345678</t>
    <phoneticPr fontId="1" type="noConversion"/>
  </si>
  <si>
    <t xml:space="preserve">      ex -  GS1 : 12345678A</t>
    <phoneticPr fontId="1" type="noConversion"/>
  </si>
  <si>
    <t xml:space="preserve">             ICCBBA : 000025</t>
    <phoneticPr fontId="1" type="noConversion"/>
  </si>
  <si>
    <t xml:space="preserve">             ICCBBA : 130201</t>
    <phoneticPr fontId="1" type="noConversion"/>
  </si>
  <si>
    <t xml:space="preserve">      ex -  GS1 : 150331</t>
    <phoneticPr fontId="1" type="noConversion"/>
  </si>
  <si>
    <t xml:space="preserve">             HIBCC : 130202</t>
    <phoneticPr fontId="1" type="noConversion"/>
  </si>
  <si>
    <t xml:space="preserve">             HIBCC : 200202</t>
    <phoneticPr fontId="1" type="noConversion"/>
  </si>
  <si>
    <t xml:space="preserve">      ex -  GS1 : 200331</t>
    <phoneticPr fontId="1" type="noConversion"/>
  </si>
  <si>
    <t xml:space="preserve">             ICCBBA : 140202</t>
    <phoneticPr fontId="1" type="noConversion"/>
  </si>
  <si>
    <t>공급수량</t>
    <phoneticPr fontId="1" type="noConversion"/>
  </si>
  <si>
    <t>공급받은 자 코드</t>
    <phoneticPr fontId="1" type="noConversion"/>
  </si>
  <si>
    <t>납품장소 코드</t>
    <phoneticPr fontId="1" type="noConversion"/>
  </si>
  <si>
    <r>
      <t xml:space="preserve">       (</t>
    </r>
    <r>
      <rPr>
        <b/>
        <sz val="11"/>
        <color rgb="FFFF0000"/>
        <rFont val="맑은 고딕"/>
        <family val="3"/>
        <charset val="129"/>
        <scheme val="minor"/>
      </rPr>
      <t>기초정보관리&gt;거래처관리 화면</t>
    </r>
    <r>
      <rPr>
        <b/>
        <sz val="11"/>
        <rFont val="맑은 고딕"/>
        <family val="3"/>
        <charset val="129"/>
        <scheme val="minor"/>
      </rPr>
      <t>에서 거래처 코드를 확인할 수 있습니다.)</t>
    </r>
    <phoneticPr fontId="1" type="noConversion"/>
  </si>
  <si>
    <t>납품장소 다름</t>
    <phoneticPr fontId="1" type="noConversion"/>
  </si>
  <si>
    <t>공급구분</t>
    <phoneticPr fontId="1" type="noConversion"/>
  </si>
  <si>
    <t>A열. 공급구분은 출고, 반품, 폐기, 임대, 회수 다섯 중 하나를 입력하세요.</t>
    <phoneticPr fontId="1" type="noConversion"/>
  </si>
  <si>
    <t>공급형태</t>
    <phoneticPr fontId="1" type="noConversion"/>
  </si>
  <si>
    <t>D열. 표준코드는 응용식별자코드(AI)를 포함하여 입력하세요. HIBCC코드의 경우 앞/뒤의 *는 없이 입력하세요.</t>
    <phoneticPr fontId="1" type="noConversion"/>
  </si>
  <si>
    <t>E열. 로트번호는 응용식별자코드(AI)를 제외하여 입력하세요.</t>
    <phoneticPr fontId="1" type="noConversion"/>
  </si>
  <si>
    <t>F열. 일련번호는 응용식별자코드(AI)를 제외하여 입력하세요.</t>
    <phoneticPr fontId="1" type="noConversion"/>
  </si>
  <si>
    <r>
      <t xml:space="preserve">G열. 제조연월은 응용식별자코드(AI)를 제외하고 </t>
    </r>
    <r>
      <rPr>
        <b/>
        <sz val="11"/>
        <color rgb="FFFF0000"/>
        <rFont val="맑은 고딕"/>
        <family val="3"/>
        <charset val="129"/>
        <scheme val="minor"/>
      </rPr>
      <t>YYMMDD(6자리) 날짜 형식</t>
    </r>
    <r>
      <rPr>
        <b/>
        <sz val="11"/>
        <rFont val="맑은 고딕"/>
        <family val="3"/>
        <charset val="129"/>
        <scheme val="minor"/>
      </rPr>
      <t>에 맞춰서 입력하세요.(일이 없는 경우 DD부분에 00을 붙여주세요.)</t>
    </r>
    <phoneticPr fontId="1" type="noConversion"/>
  </si>
  <si>
    <r>
      <t xml:space="preserve">H열. 사용기한은 응용식별자코드(AI)를 제외하고 </t>
    </r>
    <r>
      <rPr>
        <b/>
        <sz val="11"/>
        <color rgb="FFFF0000"/>
        <rFont val="맑은 고딕"/>
        <family val="3"/>
        <charset val="129"/>
        <scheme val="minor"/>
      </rPr>
      <t>YYMMDD(6자리) 날짜 형식</t>
    </r>
    <r>
      <rPr>
        <b/>
        <sz val="11"/>
        <rFont val="맑은 고딕"/>
        <family val="3"/>
        <charset val="129"/>
        <scheme val="minor"/>
      </rPr>
      <t>에 맞춰서 입력하세요.(일이 없는 경우 DD부분에 00을 붙여주세요.)</t>
    </r>
    <phoneticPr fontId="1" type="noConversion"/>
  </si>
  <si>
    <r>
      <t xml:space="preserve">I열. 공급받은 자 코드는 </t>
    </r>
    <r>
      <rPr>
        <b/>
        <sz val="11"/>
        <color rgb="FFFF0000"/>
        <rFont val="맑은 고딕"/>
        <family val="3"/>
        <charset val="129"/>
        <scheme val="minor"/>
      </rPr>
      <t>등록된 거래처의 코드를 입력</t>
    </r>
    <r>
      <rPr>
        <b/>
        <sz val="11"/>
        <rFont val="맑은 고딕"/>
        <family val="3"/>
        <charset val="129"/>
        <scheme val="minor"/>
      </rPr>
      <t>하세요. (</t>
    </r>
    <r>
      <rPr>
        <b/>
        <sz val="11"/>
        <color rgb="FFFF0000"/>
        <rFont val="맑은 고딕"/>
        <family val="3"/>
        <charset val="129"/>
        <scheme val="minor"/>
      </rPr>
      <t>기초정보관리&gt;거래처관리 화면</t>
    </r>
    <r>
      <rPr>
        <b/>
        <sz val="11"/>
        <rFont val="맑은 고딕"/>
        <family val="3"/>
        <charset val="129"/>
        <scheme val="minor"/>
      </rPr>
      <t>에서 거래처 코드를 확인할 수 있습니다.)</t>
    </r>
    <phoneticPr fontId="1" type="noConversion"/>
  </si>
  <si>
    <t>J열. 납품장소 다름은 Y, N 둘 중 하나를 입력하세요.</t>
    <phoneticPr fontId="1" type="noConversion"/>
  </si>
  <si>
    <r>
      <t xml:space="preserve">K열. 납품장소 코드는 </t>
    </r>
    <r>
      <rPr>
        <b/>
        <sz val="11"/>
        <color rgb="FFFF0000"/>
        <rFont val="맑은 고딕"/>
        <family val="3"/>
        <charset val="129"/>
        <scheme val="minor"/>
      </rPr>
      <t>납품장소 다름이 Y</t>
    </r>
    <r>
      <rPr>
        <b/>
        <sz val="11"/>
        <rFont val="맑은 고딕"/>
        <family val="3"/>
        <charset val="129"/>
        <scheme val="minor"/>
      </rPr>
      <t xml:space="preserve">의 경우 </t>
    </r>
    <r>
      <rPr>
        <b/>
        <sz val="11"/>
        <color rgb="FFFF0000"/>
        <rFont val="맑은 고딕"/>
        <family val="3"/>
        <charset val="129"/>
        <scheme val="minor"/>
      </rPr>
      <t>등록된 거래처의 코드를 입력</t>
    </r>
    <r>
      <rPr>
        <b/>
        <sz val="11"/>
        <rFont val="맑은 고딕"/>
        <family val="3"/>
        <charset val="129"/>
        <scheme val="minor"/>
      </rPr>
      <t>하세요.</t>
    </r>
    <phoneticPr fontId="1" type="noConversion"/>
  </si>
  <si>
    <r>
      <t xml:space="preserve">L열. 공급일자는 </t>
    </r>
    <r>
      <rPr>
        <b/>
        <sz val="11"/>
        <color rgb="FFFF0000"/>
        <rFont val="맑은 고딕"/>
        <family val="3"/>
        <charset val="129"/>
        <scheme val="minor"/>
      </rPr>
      <t>YYYYMMDD(8자리) 날짜 형식</t>
    </r>
    <r>
      <rPr>
        <b/>
        <sz val="11"/>
        <rFont val="맑은 고딕"/>
        <family val="3"/>
        <charset val="129"/>
        <scheme val="minor"/>
      </rPr>
      <t>에 맞춰서 입력하세요.</t>
    </r>
    <phoneticPr fontId="1" type="noConversion"/>
  </si>
  <si>
    <r>
      <t xml:space="preserve">M열. 공급수량은 콤마를 제외한 문자 없이 </t>
    </r>
    <r>
      <rPr>
        <b/>
        <sz val="11"/>
        <color rgb="FFFF0000"/>
        <rFont val="맑은 고딕"/>
        <family val="3"/>
        <charset val="129"/>
        <scheme val="minor"/>
      </rPr>
      <t>숫자로만 입력</t>
    </r>
    <r>
      <rPr>
        <b/>
        <sz val="11"/>
        <rFont val="맑은 고딕"/>
        <family val="3"/>
        <charset val="129"/>
        <scheme val="minor"/>
      </rPr>
      <t>하세요.</t>
    </r>
    <phoneticPr fontId="1" type="noConversion"/>
  </si>
  <si>
    <r>
      <t>C열. 품목일련번호는 해당 품목의 일련번호를 입력하세요.</t>
    </r>
    <r>
      <rPr>
        <b/>
        <sz val="11"/>
        <color rgb="FFFF0000"/>
        <rFont val="맑은 고딕"/>
        <family val="3"/>
        <charset val="129"/>
        <scheme val="minor"/>
      </rPr>
      <t>(수입품목만 해당)</t>
    </r>
    <phoneticPr fontId="1" type="noConversion"/>
  </si>
  <si>
    <t>※ [공급내역관리&gt;수입품목일련번호 조회] 메뉴에서 조회하세요.</t>
    <phoneticPr fontId="1" type="noConversion"/>
  </si>
  <si>
    <t>B열. 제조ㆍ수입ㆍ판매(임대)에 공급,의료기관에 공급,약국개설자 또는 의약품도매상에 공급,견본품/기부용 또는 군납용 등으로 공급 넷중 하나를 입력하세요.</t>
    <phoneticPr fontId="1" type="noConversion"/>
  </si>
  <si>
    <t>포장내용중 낱개 회수수량(공급구분이 회수인경우)</t>
    <phoneticPr fontId="1" type="noConversion"/>
  </si>
  <si>
    <r>
      <t xml:space="preserve">N열. 포장내수량중 낱개 회수수량은 </t>
    </r>
    <r>
      <rPr>
        <b/>
        <sz val="11"/>
        <color rgb="FFFF0000"/>
        <rFont val="맑은 고딕"/>
        <family val="3"/>
        <charset val="129"/>
        <scheme val="minor"/>
      </rPr>
      <t>공급구분이 회수</t>
    </r>
    <r>
      <rPr>
        <b/>
        <sz val="11"/>
        <rFont val="맑은 고딕"/>
        <family val="3"/>
        <charset val="129"/>
        <scheme val="minor"/>
      </rPr>
      <t xml:space="preserve">일 때 콤마를 제외한 문자 없이 </t>
    </r>
    <r>
      <rPr>
        <b/>
        <sz val="11"/>
        <color rgb="FFFF0000"/>
        <rFont val="맑은 고딕"/>
        <family val="3"/>
        <charset val="129"/>
        <scheme val="minor"/>
      </rPr>
      <t>숫자로만 입력</t>
    </r>
    <r>
      <rPr>
        <b/>
        <sz val="11"/>
        <rFont val="맑은 고딕"/>
        <family val="3"/>
        <charset val="129"/>
        <scheme val="minor"/>
      </rPr>
      <t>하세요.</t>
    </r>
    <phoneticPr fontId="1" type="noConversion"/>
  </si>
  <si>
    <r>
      <t xml:space="preserve">P열. 공급금액은 공급수량과 공급단가를 입력 시 </t>
    </r>
    <r>
      <rPr>
        <b/>
        <sz val="11"/>
        <color rgb="FFFF0000"/>
        <rFont val="맑은 고딕"/>
        <family val="3"/>
        <charset val="129"/>
        <scheme val="minor"/>
      </rPr>
      <t>자동으로 계산</t>
    </r>
    <r>
      <rPr>
        <b/>
        <sz val="11"/>
        <rFont val="맑은 고딕"/>
        <family val="3"/>
        <charset val="129"/>
        <scheme val="minor"/>
      </rPr>
      <t>됩니다.</t>
    </r>
    <phoneticPr fontId="1" type="noConversion"/>
  </si>
  <si>
    <r>
      <t xml:space="preserve">O열. 공급단가는 콤마를 제외한 문자 없이 </t>
    </r>
    <r>
      <rPr>
        <b/>
        <sz val="11"/>
        <color rgb="FFFF0000"/>
        <rFont val="맑은 고딕"/>
        <family val="3"/>
        <charset val="129"/>
        <scheme val="minor"/>
      </rPr>
      <t>숫자로만 입력</t>
    </r>
    <r>
      <rPr>
        <b/>
        <sz val="11"/>
        <rFont val="맑은 고딕"/>
        <family val="3"/>
        <charset val="129"/>
        <scheme val="minor"/>
      </rPr>
      <t>하세요.(요양급여 대상 치료재료에 해당하는 의료기기를 의료기관에 공급한 경우에 한하여 입력하세요.)</t>
    </r>
    <phoneticPr fontId="1" type="noConversion"/>
  </si>
  <si>
    <r>
      <t xml:space="preserve">       콤마를 제외한 문자 없이 </t>
    </r>
    <r>
      <rPr>
        <b/>
        <sz val="11"/>
        <color rgb="FFFF0000"/>
        <rFont val="맑은 고딕"/>
        <family val="3"/>
        <charset val="129"/>
        <scheme val="minor"/>
      </rPr>
      <t>숫자로만 입력</t>
    </r>
    <r>
      <rPr>
        <b/>
        <sz val="11"/>
        <rFont val="맑은 고딕"/>
        <family val="3"/>
        <charset val="129"/>
        <scheme val="minor"/>
      </rPr>
      <t>하세요.(요양급여 대상 치료재료에 해당하는 의료기기를 의료기관에 공급한 경우에 한하여 입력하세요.)</t>
    </r>
    <phoneticPr fontId="1" type="noConversion"/>
  </si>
  <si>
    <t>Q열. 중고 의료기기 여부는 Y, N 둘 중 하나를 입력하세요.</t>
    <phoneticPr fontId="1" type="noConversion"/>
  </si>
  <si>
    <t>품목일련번호(수입품목인경우)</t>
    <phoneticPr fontId="1" type="noConversion"/>
  </si>
  <si>
    <t>의료기관에 공급</t>
  </si>
  <si>
    <t>N</t>
  </si>
  <si>
    <t>출고</t>
  </si>
  <si>
    <t>제조연월(YYMMDD)</t>
    <phoneticPr fontId="1" type="noConversion"/>
  </si>
  <si>
    <t>출고</t>
    <phoneticPr fontId="1" type="noConversion"/>
  </si>
  <si>
    <t>출고</t>
    <phoneticPr fontId="1" type="noConversion"/>
  </si>
  <si>
    <t>116285400000016</t>
    <phoneticPr fontId="1" type="noConversion"/>
  </si>
  <si>
    <t>(01)08800123601328(11)250904(10)ADSEP25-14</t>
    <phoneticPr fontId="1" type="noConversion"/>
  </si>
  <si>
    <t>ADSEP25-14</t>
    <phoneticPr fontId="1" type="noConversion"/>
  </si>
  <si>
    <t>(01)08800123601335(11)250904(10)ADSEP25-08</t>
    <phoneticPr fontId="1" type="noConversion"/>
  </si>
  <si>
    <t>(01)08800123601359(11)250904(10)ADSEP25-10</t>
    <phoneticPr fontId="1" type="noConversion"/>
  </si>
  <si>
    <t>ADSEP25-10</t>
    <phoneticPr fontId="1" type="noConversion"/>
  </si>
  <si>
    <t>(01)08800123601380(11)250904(10)ADSEP25-13</t>
    <phoneticPr fontId="1" type="noConversion"/>
  </si>
  <si>
    <t>ADSEP25-13</t>
    <phoneticPr fontId="1" type="noConversion"/>
  </si>
  <si>
    <t>116285400000003</t>
    <phoneticPr fontId="1" type="noConversion"/>
  </si>
  <si>
    <t>의료기관에 공급</t>
    <phoneticPr fontId="1" type="noConversion"/>
  </si>
  <si>
    <t>116285400000002</t>
    <phoneticPr fontId="1" type="noConversion"/>
  </si>
  <si>
    <t>의료기관에 공급</t>
    <phoneticPr fontId="1" type="noConversion"/>
  </si>
  <si>
    <t>(01)08800123601373(11)250908(10)ADSEP25-20</t>
    <phoneticPr fontId="1" type="noConversion"/>
  </si>
  <si>
    <t>ADSEP25-20</t>
    <phoneticPr fontId="1" type="noConversion"/>
  </si>
  <si>
    <t>(01)08800123600017(11)250908(10)ADSEP25-21</t>
    <phoneticPr fontId="1" type="noConversion"/>
  </si>
  <si>
    <t>ADSEP25-21</t>
    <phoneticPr fontId="1" type="noConversion"/>
  </si>
  <si>
    <t>250917</t>
    <phoneticPr fontId="1" type="noConversion"/>
  </si>
  <si>
    <t>116285400000023</t>
    <phoneticPr fontId="1" type="noConversion"/>
  </si>
  <si>
    <t>(01)08800123601496(11)250716(10)ADJUL25-25</t>
    <phoneticPr fontId="1" type="noConversion"/>
  </si>
  <si>
    <t>ADJUL25-25</t>
    <phoneticPr fontId="1" type="noConversion"/>
  </si>
  <si>
    <t>116285400000005</t>
    <phoneticPr fontId="1" type="noConversion"/>
  </si>
  <si>
    <t>(01)08800123600031(11)250924(10)ADSEP25-46</t>
    <phoneticPr fontId="1" type="noConversion"/>
  </si>
  <si>
    <t>ADSEP25-46</t>
    <phoneticPr fontId="1" type="noConversion"/>
  </si>
  <si>
    <t>(01)08800123601281(11)250918(10)ADSEP25-36</t>
    <phoneticPr fontId="1" type="noConversion"/>
  </si>
  <si>
    <t>ADSEP25-36</t>
    <phoneticPr fontId="1" type="noConversion"/>
  </si>
  <si>
    <t>(01)08800123601304(11)250918(10)ADSEP25-37</t>
    <phoneticPr fontId="1" type="noConversion"/>
  </si>
  <si>
    <t>ADSEP25-37</t>
    <phoneticPr fontId="1" type="noConversion"/>
  </si>
  <si>
    <t>(01)08800123601342(11)250904(10)ADSEP25-09</t>
    <phoneticPr fontId="1" type="noConversion"/>
  </si>
  <si>
    <t>ADSEP25-09</t>
    <phoneticPr fontId="1" type="noConversion"/>
  </si>
  <si>
    <t>(01)08800123601366(11)250918(10)ADSEP25-39</t>
    <phoneticPr fontId="1" type="noConversion"/>
  </si>
  <si>
    <t>ADSEP25-39</t>
    <phoneticPr fontId="1" type="noConversion"/>
  </si>
  <si>
    <t>(01)08800123601403(11)250918(10)ADSEP25-40</t>
    <phoneticPr fontId="1" type="noConversion"/>
  </si>
  <si>
    <t>(01)08800123600024(11)250918(10)ADSEP25-41</t>
    <phoneticPr fontId="1" type="noConversion"/>
  </si>
  <si>
    <t>(01)08800123600062(11)250822(10)ADAUG25-23</t>
    <phoneticPr fontId="1" type="noConversion"/>
  </si>
  <si>
    <t>ADAUG25-23</t>
    <phoneticPr fontId="1" type="noConversion"/>
  </si>
  <si>
    <t>20251015</t>
    <phoneticPr fontId="1" type="noConversion"/>
  </si>
  <si>
    <t>20251020</t>
  </si>
  <si>
    <t>ADOCT25-01</t>
  </si>
  <si>
    <t>251002</t>
  </si>
  <si>
    <t>(01)08800123601311(11)251002(10)ADOCT25-01</t>
    <phoneticPr fontId="1" type="noConversion"/>
  </si>
  <si>
    <t>(01)08800123601335(11)251014(10)ADOCT25-12</t>
    <phoneticPr fontId="1" type="noConversion"/>
  </si>
  <si>
    <t>ADOCT25-12</t>
    <phoneticPr fontId="1" type="noConversion"/>
  </si>
  <si>
    <t>251014</t>
    <phoneticPr fontId="1" type="noConversion"/>
  </si>
  <si>
    <t>ADSEP25-08</t>
  </si>
  <si>
    <t>250908</t>
    <phoneticPr fontId="1" type="noConversion"/>
  </si>
  <si>
    <t>(01)08800123601298(11)250917(10)ADSEP25-35</t>
    <phoneticPr fontId="1" type="noConversion"/>
  </si>
  <si>
    <t>ADSEP25-35</t>
    <phoneticPr fontId="1" type="noConversion"/>
  </si>
  <si>
    <t>250904</t>
    <phoneticPr fontId="1" type="noConversion"/>
  </si>
  <si>
    <t>(01)08800123600000(11)251014(10)ADOCT25-13</t>
    <phoneticPr fontId="1" type="noConversion"/>
  </si>
  <si>
    <t>ADOCT25-13</t>
    <phoneticPr fontId="1" type="noConversion"/>
  </si>
  <si>
    <t>ADOCT25-14</t>
    <phoneticPr fontId="1" type="noConversion"/>
  </si>
  <si>
    <t>(01)08800123600017(11)251014(10)ADOCT25-14</t>
    <phoneticPr fontId="1" type="noConversion"/>
  </si>
  <si>
    <t>ADSEP25-41</t>
  </si>
  <si>
    <t>(01)08800123600093(11)251014(10)ADOCT25-15</t>
    <phoneticPr fontId="1" type="noConversion"/>
  </si>
  <si>
    <t>ADOCT25-15</t>
  </si>
  <si>
    <t>ADOCT25-16</t>
    <phoneticPr fontId="1" type="noConversion"/>
  </si>
  <si>
    <t>(01)08800123601151(11)251014(10)ADOCT25-16</t>
    <phoneticPr fontId="1" type="noConversion"/>
  </si>
  <si>
    <t>ADOCT25-17</t>
  </si>
  <si>
    <t>(01)08800123601168(11)251014(10)ADOCT25-17</t>
    <phoneticPr fontId="1" type="noConversion"/>
  </si>
  <si>
    <t>(01)08800123600635(11)251014(10)ADOCT25-20</t>
    <phoneticPr fontId="1" type="noConversion"/>
  </si>
  <si>
    <t>ADOCT25-20</t>
  </si>
  <si>
    <t>(01)08800123600833(11)251014(10)ADOCT25-21</t>
    <phoneticPr fontId="1" type="noConversion"/>
  </si>
  <si>
    <t>ADOCT25-21</t>
  </si>
  <si>
    <t>(01)08800123601113(11)251014(10)ADOCT25-24</t>
    <phoneticPr fontId="1" type="noConversion"/>
  </si>
  <si>
    <t>ADOCT25-24</t>
  </si>
  <si>
    <t>(01)08800123601113(11)240109(10)ADJAN24-20</t>
    <phoneticPr fontId="1" type="noConversion"/>
  </si>
  <si>
    <t>ADJAN24-20</t>
  </si>
  <si>
    <t>ADOCT25-22</t>
  </si>
  <si>
    <t>(01)08800123600703(11)251014(10)ADOCT25-22</t>
    <phoneticPr fontId="1" type="noConversion"/>
  </si>
  <si>
    <t>(01)08800123600727(11)251014(10)ADOCT25-23</t>
    <phoneticPr fontId="1" type="noConversion"/>
  </si>
  <si>
    <t>ADOCT25-23</t>
  </si>
  <si>
    <t>ADSEP25-40</t>
  </si>
  <si>
    <t>116285400000043</t>
    <phoneticPr fontId="1" type="noConversion"/>
  </si>
  <si>
    <t>20251016</t>
    <phoneticPr fontId="1" type="noConversion"/>
  </si>
  <si>
    <t>(01)08800123601403(11)251016(10)ADOCT25-35</t>
    <phoneticPr fontId="1" type="noConversion"/>
  </si>
  <si>
    <t>ADOCT25-35</t>
  </si>
  <si>
    <t>20251017</t>
    <phoneticPr fontId="1" type="noConversion"/>
  </si>
  <si>
    <t>ADOCT25-26</t>
    <phoneticPr fontId="1" type="noConversion"/>
  </si>
  <si>
    <t>ADJUN25-04</t>
    <phoneticPr fontId="1" type="noConversion"/>
  </si>
  <si>
    <t>(01)08800123600000(11)251016(10)ADOCT25-26</t>
    <phoneticPr fontId="1" type="noConversion"/>
  </si>
  <si>
    <t>(01)08800123600000(11)250610(10)ADJUN25-04</t>
    <phoneticPr fontId="1" type="noConversion"/>
  </si>
  <si>
    <t>ADOCT25-27</t>
    <phoneticPr fontId="1" type="noConversion"/>
  </si>
  <si>
    <t>(01)08800123600024(11)251016(10)ADOCT25-27</t>
    <phoneticPr fontId="1" type="noConversion"/>
  </si>
  <si>
    <t>ADOCT25-28</t>
    <phoneticPr fontId="1" type="noConversion"/>
  </si>
  <si>
    <t>(01)08800123600031(11)251016(10)ADOCT25-28</t>
    <phoneticPr fontId="1" type="noConversion"/>
  </si>
  <si>
    <t>ADOCT25-31</t>
    <phoneticPr fontId="1" type="noConversion"/>
  </si>
  <si>
    <t>ADAUG25-08</t>
    <phoneticPr fontId="1" type="noConversion"/>
  </si>
  <si>
    <t>(01)08800123601175(11)251016(10)ADOCT25-31</t>
    <phoneticPr fontId="1" type="noConversion"/>
  </si>
  <si>
    <t>(01)08800123601175(11)250811(10)ADAUG25-08</t>
    <phoneticPr fontId="1" type="noConversion"/>
  </si>
  <si>
    <t>ADMAR25-69</t>
    <phoneticPr fontId="1" type="noConversion"/>
  </si>
  <si>
    <t>(01)08800123601465(11)250319(10)ADMAR25-69</t>
    <phoneticPr fontId="1" type="noConversion"/>
  </si>
  <si>
    <t>ADOCT25-41</t>
    <phoneticPr fontId="1" type="noConversion"/>
  </si>
  <si>
    <t>(01)08800123601496(11)251017(10)ADOCT25-41</t>
    <phoneticPr fontId="1" type="noConversion"/>
  </si>
  <si>
    <t>ADOCT25-42</t>
    <phoneticPr fontId="1" type="noConversion"/>
  </si>
  <si>
    <t>(01)08800123601526(11)251017(10)ADOCT25-42</t>
    <phoneticPr fontId="1" type="noConversion"/>
  </si>
  <si>
    <t>116285400000004</t>
    <phoneticPr fontId="1" type="noConversion"/>
  </si>
  <si>
    <t>ADOCT25-44</t>
    <phoneticPr fontId="1" type="noConversion"/>
  </si>
  <si>
    <t>ADOCT25-30</t>
    <phoneticPr fontId="1" type="noConversion"/>
  </si>
  <si>
    <t>(01)08800123601168(11)251016(10)ADOCT25-44</t>
    <phoneticPr fontId="1" type="noConversion"/>
  </si>
  <si>
    <t>(01)08800123601168(11)251020(10)ADOCT25-30</t>
    <phoneticPr fontId="1" type="noConversion"/>
  </si>
  <si>
    <t>ADOCT25-38</t>
    <phoneticPr fontId="1" type="noConversion"/>
  </si>
  <si>
    <t>(01)08800123601175(11)251017(10)ADOCT25-38</t>
    <phoneticPr fontId="1" type="noConversion"/>
  </si>
  <si>
    <t>ADOCT25-39</t>
    <phoneticPr fontId="1" type="noConversion"/>
  </si>
  <si>
    <t>(01)08800123600079(11)251017(10)ADOCT25-39</t>
    <phoneticPr fontId="1" type="noConversion"/>
  </si>
  <si>
    <t>ADOCT25-01</t>
    <phoneticPr fontId="1" type="noConversion"/>
  </si>
  <si>
    <t>ADOCT25-36</t>
    <phoneticPr fontId="1" type="noConversion"/>
  </si>
  <si>
    <t>(01)08800123601298(11)251017(10)ADOCT25-36</t>
    <phoneticPr fontId="1" type="noConversion"/>
  </si>
  <si>
    <t xml:space="preserve">	ADOCT25-43</t>
    <phoneticPr fontId="1" type="noConversion"/>
  </si>
  <si>
    <t xml:space="preserve">	ADSEP25-13</t>
    <phoneticPr fontId="1" type="noConversion"/>
  </si>
  <si>
    <t>(01)08800123601380(11)251020(10)ADOCT25-43</t>
    <phoneticPr fontId="1" type="noConversion"/>
  </si>
  <si>
    <t>(01)08800123601380(11)250904(10)	ADSEP25-13</t>
    <phoneticPr fontId="1" type="noConversion"/>
  </si>
  <si>
    <t>(01)08800123601151(11)251016(10)ADOCT25-29</t>
    <phoneticPr fontId="1" type="noConversion"/>
  </si>
  <si>
    <t>ADOCT25-29</t>
    <phoneticPr fontId="1" type="noConversion"/>
  </si>
  <si>
    <t>(01)08800123601168(11)251016(10)ADOCT25-30</t>
    <phoneticPr fontId="1" type="noConversion"/>
  </si>
  <si>
    <t>ADOCT25-18</t>
    <phoneticPr fontId="1" type="noConversion"/>
  </si>
  <si>
    <t>(01)08800123601199(11)251014(10)ADOCT25-18</t>
    <phoneticPr fontId="1" type="noConversion"/>
  </si>
  <si>
    <t>20251020</t>
    <phoneticPr fontId="1" type="noConversion"/>
  </si>
  <si>
    <t xml:space="preserve">	ADOCT25-28</t>
    <phoneticPr fontId="1" type="noConversion"/>
  </si>
  <si>
    <t>ADOCT25-45</t>
    <phoneticPr fontId="1" type="noConversion"/>
  </si>
  <si>
    <t>(01)08800123600031(11)251021(10)ADOCT25-45</t>
    <phoneticPr fontId="1" type="noConversion"/>
  </si>
  <si>
    <t>20251021</t>
    <phoneticPr fontId="1" type="noConversion"/>
  </si>
  <si>
    <t>251021</t>
    <phoneticPr fontId="1" type="noConversion"/>
  </si>
  <si>
    <t>ADOCT25-09</t>
    <phoneticPr fontId="1" type="noConversion"/>
  </si>
  <si>
    <t>(01)08800123600048(11)251013(10)ADOCT25-09</t>
    <phoneticPr fontId="1" type="noConversion"/>
  </si>
  <si>
    <t>116285400000197</t>
    <phoneticPr fontId="1" type="noConversion"/>
  </si>
  <si>
    <t>ADOCT25-49</t>
    <phoneticPr fontId="1" type="noConversion"/>
  </si>
  <si>
    <t>20251022</t>
    <phoneticPr fontId="1" type="noConversion"/>
  </si>
  <si>
    <t>(01)08800123601595(11)251022(10)ADOCT25-49</t>
    <phoneticPr fontId="1" type="noConversion"/>
  </si>
  <si>
    <t xml:space="preserve">	116285400000047</t>
    <phoneticPr fontId="1" type="noConversion"/>
  </si>
  <si>
    <t>ADOCT25-46</t>
    <phoneticPr fontId="1" type="noConversion"/>
  </si>
  <si>
    <t>(01)08800123600000(11)251022(10)ADOCT25-46</t>
    <phoneticPr fontId="1" type="noConversion"/>
  </si>
  <si>
    <t>ADOCT25-47</t>
    <phoneticPr fontId="1" type="noConversion"/>
  </si>
  <si>
    <t>(01)08800123600017(11)251022(10)ADOCT25-47</t>
    <phoneticPr fontId="1" type="noConversion"/>
  </si>
  <si>
    <t>ADOCT25-48</t>
    <phoneticPr fontId="1" type="noConversion"/>
  </si>
  <si>
    <t>(01)08800123601151(11)251022(10)ADOCT25-48</t>
    <phoneticPr fontId="1" type="noConversion"/>
  </si>
  <si>
    <t>20251023</t>
    <phoneticPr fontId="1" type="noConversion"/>
  </si>
  <si>
    <t>ADOCT25-51</t>
    <phoneticPr fontId="1" type="noConversion"/>
  </si>
  <si>
    <t>(01)08800123601281(11)251023(10)ADOCT25-51</t>
    <phoneticPr fontId="1" type="noConversion"/>
  </si>
  <si>
    <t>ADOCT25-02</t>
    <phoneticPr fontId="1" type="noConversion"/>
  </si>
  <si>
    <t>(01)08800123601342(11)251002(10)ADOCT25-02</t>
    <phoneticPr fontId="1" type="noConversion"/>
  </si>
  <si>
    <t>ADOCT25-52</t>
    <phoneticPr fontId="1" type="noConversion"/>
  </si>
  <si>
    <t>(01)08800123601366(11)251023(10)ADOCT25-52</t>
    <phoneticPr fontId="1" type="noConversion"/>
  </si>
  <si>
    <t>ADOCT25-53</t>
    <phoneticPr fontId="1" type="noConversion"/>
  </si>
  <si>
    <t>(01)08800123601373(11)251023(10)ADOCT25-53</t>
    <phoneticPr fontId="1" type="noConversion"/>
  </si>
  <si>
    <t>ADAUG25-22</t>
    <phoneticPr fontId="1" type="noConversion"/>
  </si>
  <si>
    <t>(01)08800123601410(11)250822(10)ADAUG25-22</t>
    <phoneticPr fontId="1" type="noConversion"/>
  </si>
  <si>
    <t>ADOCT25-59</t>
    <phoneticPr fontId="1" type="noConversion"/>
  </si>
  <si>
    <t>116285400000025</t>
    <phoneticPr fontId="1" type="noConversion"/>
  </si>
  <si>
    <t>20251024</t>
    <phoneticPr fontId="1" type="noConversion"/>
  </si>
  <si>
    <t>(01)08800123600024	(11)251024(10)ADOCT25-59</t>
    <phoneticPr fontId="1" type="noConversion"/>
  </si>
  <si>
    <t>ADOCT25-60</t>
    <phoneticPr fontId="1" type="noConversion"/>
  </si>
  <si>
    <t>(01)08800123600048(11)251024(10)ADOCT25-60</t>
    <phoneticPr fontId="1" type="noConversion"/>
  </si>
  <si>
    <t>116285400000047</t>
    <phoneticPr fontId="1" type="noConversion"/>
  </si>
  <si>
    <t>ADSEP25-05</t>
  </si>
  <si>
    <t>ADSEP25-05</t>
    <phoneticPr fontId="1" type="noConversion"/>
  </si>
  <si>
    <t>ADOCT25-61</t>
    <phoneticPr fontId="1" type="noConversion"/>
  </si>
  <si>
    <t>20251027</t>
    <phoneticPr fontId="1" type="noConversion"/>
  </si>
  <si>
    <t>(01)08800123601274(11)250904(10)ADSEP25-05</t>
    <phoneticPr fontId="1" type="noConversion"/>
  </si>
  <si>
    <t>(01)08800123601274(11)251024(10)ADOCT25-61</t>
    <phoneticPr fontId="1" type="noConversion"/>
  </si>
  <si>
    <t>ADOCT25-62</t>
    <phoneticPr fontId="1" type="noConversion"/>
  </si>
  <si>
    <t xml:space="preserve">(01)08800123601281(11)251023(10)ADOCT25-51	</t>
    <phoneticPr fontId="1" type="noConversion"/>
  </si>
  <si>
    <t>(01)08800123601281(11)251024(10)ADOCT25-62</t>
    <phoneticPr fontId="1" type="noConversion"/>
  </si>
  <si>
    <t>ADOCT25-63</t>
    <phoneticPr fontId="1" type="noConversion"/>
  </si>
  <si>
    <t>(01)08800123601298(11)251024(10)ADOCT25-63</t>
    <phoneticPr fontId="1" type="noConversion"/>
  </si>
  <si>
    <t>20251029</t>
    <phoneticPr fontId="1" type="noConversion"/>
  </si>
  <si>
    <t>(01)08800123601366(11)251028(10)ADOCT25-72</t>
    <phoneticPr fontId="1" type="noConversion"/>
  </si>
  <si>
    <t>ADOCT25-72</t>
    <phoneticPr fontId="1" type="noConversion"/>
  </si>
  <si>
    <t>ADAUG25-24</t>
    <phoneticPr fontId="1" type="noConversion"/>
  </si>
  <si>
    <t>(01)08800123601182(11)251028(10)ADAUG25-24</t>
    <phoneticPr fontId="1" type="noConversion"/>
  </si>
  <si>
    <t xml:space="preserve">ADOCT25-45	</t>
    <phoneticPr fontId="1" type="noConversion"/>
  </si>
  <si>
    <t xml:space="preserve">ADOCT25-54	</t>
    <phoneticPr fontId="1" type="noConversion"/>
  </si>
  <si>
    <t xml:space="preserve">(01)08800123600031(11)251021(10)ADOCT25-45	</t>
    <phoneticPr fontId="1" type="noConversion"/>
  </si>
  <si>
    <t xml:space="preserve">(01)08800123600031(11)251023(10)ADOCT25-54	</t>
    <phoneticPr fontId="1" type="noConversion"/>
  </si>
  <si>
    <t>(01)08800123600048(11)251023(10)ADOCT25-09</t>
    <phoneticPr fontId="1" type="noConversion"/>
  </si>
  <si>
    <t>ADOCT25-10</t>
    <phoneticPr fontId="1" type="noConversion"/>
  </si>
  <si>
    <t>(01)08800123600055(11)251013(10)ADOCT25-10</t>
    <phoneticPr fontId="1" type="noConversion"/>
  </si>
  <si>
    <t>ADOCT25-55</t>
    <phoneticPr fontId="1" type="noConversion"/>
  </si>
  <si>
    <t>(01)08800123600062(11)251023(10)ADOCT25-55</t>
    <phoneticPr fontId="1" type="noConversion"/>
  </si>
  <si>
    <t>ADSEP25-23</t>
    <phoneticPr fontId="1" type="noConversion"/>
  </si>
  <si>
    <t>ADOCT25-56</t>
    <phoneticPr fontId="1" type="noConversion"/>
  </si>
  <si>
    <t>(01)08800123600079(11)250908(10)ADSEP25-23</t>
    <phoneticPr fontId="1" type="noConversion"/>
  </si>
  <si>
    <t>(01)08800123600079(11)251023(10)ADOCT25-56</t>
    <phoneticPr fontId="1" type="noConversion"/>
  </si>
  <si>
    <t>ADOCT25-57</t>
    <phoneticPr fontId="1" type="noConversion"/>
  </si>
  <si>
    <t>ADJUL23-26</t>
    <phoneticPr fontId="1" type="noConversion"/>
  </si>
  <si>
    <t>(01)08800123600086(11)230711(10)ADJUL23-26</t>
    <phoneticPr fontId="1" type="noConversion"/>
  </si>
  <si>
    <t>(01)08800123600086(11)251023(10)ADOCT25-57</t>
    <phoneticPr fontId="1" type="noConversion"/>
  </si>
  <si>
    <t>ADOCT25-15</t>
    <phoneticPr fontId="1" type="noConversion"/>
  </si>
  <si>
    <t>ADOCT25-74</t>
    <phoneticPr fontId="1" type="noConversion"/>
  </si>
  <si>
    <t>(01)08800123601373(11)251029(10)ADOCT25-74</t>
    <phoneticPr fontId="1" type="noConversion"/>
  </si>
  <si>
    <t>20251030</t>
    <phoneticPr fontId="1" type="noConversion"/>
  </si>
  <si>
    <t>116285400000026</t>
    <phoneticPr fontId="1" type="noConversion"/>
  </si>
  <si>
    <t>20251031</t>
    <phoneticPr fontId="1" type="noConversion"/>
  </si>
  <si>
    <t>ADOCT25-76</t>
  </si>
  <si>
    <t>(01)08800123601304(11)251030(10)ADOCT25-76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</si>
</sst>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"/>
    <numFmt numFmtId="177" formatCode="0_);[Red]\(0\)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49" fontId="0" fillId="0" borderId="0" xfId="0" applyNumberFormat="1" applyProtection="1">
      <alignment vertical="center"/>
      <protection locked="0"/>
    </xf>
    <xf numFmtId="0" fontId="2" fillId="0" borderId="0" xfId="0" applyFont="1">
      <alignment vertical="center"/>
    </xf>
    <xf numFmtId="0" fontId="3" fillId="4" borderId="0" xfId="0" applyFont="1" applyFill="1">
      <alignment vertical="center"/>
    </xf>
    <xf numFmtId="0" fontId="0" fillId="4" borderId="0" xfId="0" applyFill="1">
      <alignment vertical="center"/>
    </xf>
    <xf numFmtId="0" fontId="4" fillId="4" borderId="0" xfId="0" applyFont="1" applyFill="1">
      <alignment vertical="center"/>
    </xf>
    <xf numFmtId="49" fontId="5" fillId="3" borderId="1" xfId="0" applyNumberFormat="1" applyFont="1" applyFill="1" applyBorder="1" applyProtection="1">
      <alignment vertical="center"/>
      <protection locked="0"/>
    </xf>
    <xf numFmtId="49" fontId="0" fillId="0" borderId="1" xfId="0" applyNumberFormat="1" applyBorder="1" applyProtection="1">
      <alignment vertical="center"/>
      <protection locked="0"/>
    </xf>
    <xf numFmtId="41" fontId="0" fillId="0" borderId="1" xfId="1" applyFont="1" applyBorder="1" applyProtection="1">
      <alignment vertical="center"/>
      <protection locked="0"/>
    </xf>
    <xf numFmtId="41" fontId="0" fillId="3" borderId="1" xfId="1" applyFont="1" applyFill="1" applyBorder="1" applyProtection="1">
      <alignment vertical="center"/>
      <protection locked="0"/>
    </xf>
    <xf numFmtId="0" fontId="7" fillId="0" borderId="1" xfId="0" applyFont="1" applyBorder="1" applyProtection="1">
      <alignment vertical="center"/>
      <protection locked="0"/>
    </xf>
    <xf numFmtId="49" fontId="0" fillId="3" borderId="1" xfId="0" applyNumberFormat="1" applyFill="1" applyBorder="1" applyProtection="1">
      <alignment vertical="center"/>
      <protection locked="0"/>
    </xf>
    <xf numFmtId="49" fontId="8" fillId="3" borderId="1" xfId="0" applyNumberFormat="1" applyFont="1" applyFill="1" applyBorder="1" applyProtection="1">
      <alignment vertical="center"/>
      <protection locked="0"/>
    </xf>
    <xf numFmtId="0" fontId="8" fillId="0" borderId="1" xfId="0" applyFont="1" applyBorder="1" applyProtection="1">
      <alignment vertical="center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49" fontId="8" fillId="0" borderId="1" xfId="0" applyNumberFormat="1" applyFont="1" applyBorder="1" applyProtection="1">
      <alignment vertical="center"/>
      <protection locked="0"/>
    </xf>
    <xf numFmtId="177" fontId="8" fillId="0" borderId="1" xfId="0" applyNumberFormat="1" applyFont="1" applyBorder="1" applyProtection="1">
      <alignment vertical="center"/>
      <protection locked="0"/>
    </xf>
    <xf numFmtId="41" fontId="8" fillId="0" borderId="1" xfId="1" applyFont="1" applyBorder="1" applyProtection="1">
      <alignment vertical="center"/>
      <protection locked="0"/>
    </xf>
    <xf numFmtId="49" fontId="8" fillId="0" borderId="1" xfId="0" applyNumberFormat="1" applyFont="1" applyBorder="1" applyAlignment="1" applyProtection="1">
      <alignment horizontal="left" vertical="center"/>
      <protection locked="0"/>
    </xf>
    <xf numFmtId="49" fontId="8" fillId="3" borderId="1" xfId="0" applyNumberFormat="1" applyFont="1" applyFill="1" applyBorder="1" applyAlignment="1" applyProtection="1">
      <alignment horizontal="left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177" fontId="0" fillId="3" borderId="1" xfId="0" applyNumberFormat="1" applyFill="1" applyBorder="1" applyProtection="1">
      <alignment vertical="center"/>
      <protection locked="0"/>
    </xf>
    <xf numFmtId="176" fontId="0" fillId="3" borderId="1" xfId="0" applyNumberFormat="1" applyFill="1" applyBorder="1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49" fontId="0" fillId="0" borderId="1" xfId="0" applyNumberFormat="1" applyBorder="1" applyAlignment="1" applyProtection="1">
      <alignment horizontal="left" vertical="center"/>
      <protection locked="0"/>
    </xf>
    <xf numFmtId="0" fontId="0" fillId="2" borderId="1" xfId="0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41" fontId="0" fillId="0" borderId="1" xfId="1" applyFont="1" applyFill="1" applyBorder="1" applyProtection="1">
      <alignment vertical="center"/>
      <protection locked="0"/>
    </xf>
    <xf numFmtId="49" fontId="9" fillId="0" borderId="1" xfId="0" applyNumberFormat="1" applyFont="1" applyBorder="1">
      <alignment vertical="center"/>
    </xf>
    <xf numFmtId="49" fontId="10" fillId="3" borderId="1" xfId="0" applyNumberFormat="1" applyFont="1" applyFill="1" applyBorder="1" applyAlignment="1" applyProtection="1">
      <alignment vertical="center" wrapText="1"/>
      <protection locked="0"/>
    </xf>
    <xf numFmtId="49" fontId="10" fillId="3" borderId="1" xfId="0" applyNumberFormat="1" applyFont="1" applyFill="1" applyBorder="1" applyProtection="1">
      <alignment vertical="center"/>
      <protection locked="0"/>
    </xf>
    <xf numFmtId="49" fontId="10" fillId="0" borderId="1" xfId="0" applyNumberFormat="1" applyFont="1" applyBorder="1" applyAlignment="1" applyProtection="1">
      <alignment vertical="center" wrapText="1"/>
      <protection locked="0"/>
    </xf>
    <xf numFmtId="41" fontId="0" fillId="0" borderId="1" xfId="2" applyNumberFormat="1" applyFont="1" applyFill="1" applyBorder="1" applyProtection="1">
      <alignment vertical="center"/>
      <protection locked="0"/>
    </xf>
    <xf numFmtId="49" fontId="5" fillId="0" borderId="1" xfId="0" applyNumberFormat="1" applyFont="1" applyBorder="1" applyProtection="1">
      <alignment vertical="center"/>
      <protection locked="0"/>
    </xf>
    <xf numFmtId="0" fontId="9" fillId="0" borderId="0" xfId="0" applyFont="1">
      <alignment vertical="center"/>
    </xf>
    <xf numFmtId="0" fontId="5" fillId="0" borderId="0" xfId="0" applyFont="1">
      <alignment vertical="center"/>
    </xf>
    <xf numFmtId="0" fontId="0" fillId="0" borderId="1" xfId="0" applyBorder="1" applyAlignment="1" applyProtection="1">
      <alignment horizontal="center" vertical="center"/>
      <protection locked="0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0</xdr:rowOff>
    </xdr:from>
    <xdr:to>
      <xdr:col>0</xdr:col>
      <xdr:colOff>314325</xdr:colOff>
      <xdr:row>76</xdr:row>
      <xdr:rowOff>145027</xdr:rowOff>
    </xdr:to>
    <xdr:sp macro="" textlink="">
      <xdr:nvSpPr>
        <xdr:cNvPr id="1053" name="Control 29" hidden="1">
          <a:extLst>
            <a:ext uri="{63B3BB69-23CF-44E3-9099-C40C66FF867C}">
              <a14:compatExt xmlns:a14="http://schemas.microsoft.com/office/drawing/2010/main" spid="_x0000_s1053"/>
            </a:ex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333375</xdr:colOff>
      <xdr:row>76</xdr:row>
      <xdr:rowOff>161927</xdr:rowOff>
    </xdr:to>
    <xdr:pic>
      <xdr:nvPicPr>
        <xdr:cNvPr id="2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18200"/>
          <a:ext cx="333375" cy="3714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06"/>
  <sheetViews>
    <sheetView tabSelected="1" topLeftCell="L1" zoomScaleNormal="100" workbookViewId="0">
      <pane ySplit="1" topLeftCell="A82" activePane="bottomLeft" state="frozen"/>
      <selection activeCell="E37" sqref="E37"/>
      <selection pane="bottomLeft" activeCell="Q99" sqref="Q99"/>
    </sheetView>
  </sheetViews>
  <sheetFormatPr defaultRowHeight="16.5"/>
  <cols>
    <col min="1" max="1" width="13" bestFit="1" customWidth="1"/>
    <col min="2" max="2" width="35.25" customWidth="1"/>
    <col min="3" max="3" width="6.75" style="1" customWidth="1"/>
    <col min="4" max="4" width="63.75" style="1" customWidth="1"/>
    <col min="5" max="6" width="20.125" style="1" customWidth="1"/>
    <col min="7" max="8" width="19.375" style="1" bestFit="1" customWidth="1"/>
    <col min="9" max="9" width="26.625" style="1" customWidth="1"/>
    <col min="10" max="10" width="13.75" style="1" bestFit="1" customWidth="1"/>
    <col min="11" max="11" width="19.375" style="2" customWidth="1"/>
    <col min="12" max="12" width="21.625" style="1" bestFit="1" customWidth="1"/>
    <col min="13" max="13" width="19.375" style="1" customWidth="1"/>
    <col min="14" max="14" width="7.25" style="1" customWidth="1"/>
    <col min="15" max="16" width="25.625" style="1" customWidth="1"/>
    <col min="17" max="17" width="70.875" style="1" bestFit="1" customWidth="1"/>
  </cols>
  <sheetData>
    <row r="1" spans="1:17" ht="21" customHeight="1">
      <c r="A1" s="30" t="s">
        <v>52</v>
      </c>
      <c r="B1" s="30" t="s">
        <v>54</v>
      </c>
      <c r="C1" s="31" t="s">
        <v>74</v>
      </c>
      <c r="D1" s="31" t="s">
        <v>234</v>
      </c>
      <c r="E1" s="21" t="s">
        <v>25</v>
      </c>
      <c r="F1" s="21" t="s">
        <v>27</v>
      </c>
      <c r="G1" s="21" t="s">
        <v>78</v>
      </c>
      <c r="H1" s="21" t="s">
        <v>28</v>
      </c>
      <c r="I1" s="21" t="s">
        <v>48</v>
      </c>
      <c r="J1" s="21" t="s">
        <v>51</v>
      </c>
      <c r="K1" s="22" t="s">
        <v>49</v>
      </c>
      <c r="L1" s="21" t="s">
        <v>29</v>
      </c>
      <c r="M1" s="21" t="s">
        <v>47</v>
      </c>
      <c r="N1" s="23" t="s">
        <v>68</v>
      </c>
      <c r="O1" s="21" t="s">
        <v>31</v>
      </c>
      <c r="P1" s="21" t="s">
        <v>30</v>
      </c>
      <c r="Q1" s="24" t="s">
        <v>26</v>
      </c>
    </row>
    <row r="2" spans="1:17">
      <c r="A2" s="13" t="s">
        <v>77</v>
      </c>
      <c r="B2" s="7" t="s">
        <v>75</v>
      </c>
      <c r="C2" s="27"/>
      <c r="D2" s="14" t="s">
        <v>120</v>
      </c>
      <c r="E2" s="27" t="s">
        <v>118</v>
      </c>
      <c r="F2" s="8"/>
      <c r="G2" s="8" t="s">
        <v>119</v>
      </c>
      <c r="H2" s="8"/>
      <c r="I2" s="12" t="s">
        <v>91</v>
      </c>
      <c r="J2" s="12" t="s">
        <v>76</v>
      </c>
      <c r="K2" s="12"/>
      <c r="L2" s="12" t="s">
        <v>116</v>
      </c>
      <c r="M2" s="25">
        <v>10</v>
      </c>
      <c r="N2" s="26"/>
      <c r="O2" s="10">
        <v>8800</v>
      </c>
      <c r="P2" s="10">
        <f>(M2*O2)</f>
        <v>88000</v>
      </c>
      <c r="Q2" s="12"/>
    </row>
    <row r="3" spans="1:17">
      <c r="A3" s="13" t="s">
        <v>77</v>
      </c>
      <c r="B3" s="7" t="s">
        <v>75</v>
      </c>
      <c r="C3" s="27"/>
      <c r="D3" s="14" t="s">
        <v>121</v>
      </c>
      <c r="E3" s="39" t="s">
        <v>122</v>
      </c>
      <c r="F3" s="8"/>
      <c r="G3" s="8" t="s">
        <v>123</v>
      </c>
      <c r="H3" s="8"/>
      <c r="I3" s="12" t="s">
        <v>91</v>
      </c>
      <c r="J3" s="12" t="s">
        <v>76</v>
      </c>
      <c r="K3" s="16"/>
      <c r="L3" s="12" t="s">
        <v>116</v>
      </c>
      <c r="M3" s="17">
        <v>2</v>
      </c>
      <c r="N3" s="14"/>
      <c r="O3" s="10">
        <v>8800</v>
      </c>
      <c r="P3" s="10">
        <f t="shared" ref="P3:P51" si="0">(M3*O3)</f>
        <v>17600</v>
      </c>
      <c r="Q3" s="11"/>
    </row>
    <row r="4" spans="1:17">
      <c r="A4" s="13" t="s">
        <v>77</v>
      </c>
      <c r="B4" s="7" t="s">
        <v>75</v>
      </c>
      <c r="C4" s="14"/>
      <c r="D4" s="14" t="s">
        <v>84</v>
      </c>
      <c r="E4" s="27" t="s">
        <v>124</v>
      </c>
      <c r="F4" s="8"/>
      <c r="G4" s="15">
        <v>250904</v>
      </c>
      <c r="H4" s="8"/>
      <c r="I4" s="12" t="s">
        <v>91</v>
      </c>
      <c r="J4" s="12" t="s">
        <v>76</v>
      </c>
      <c r="K4" s="16"/>
      <c r="L4" s="12" t="s">
        <v>116</v>
      </c>
      <c r="M4" s="18">
        <v>8</v>
      </c>
      <c r="N4" s="14"/>
      <c r="O4" s="10">
        <v>8800</v>
      </c>
      <c r="P4" s="10">
        <f t="shared" si="0"/>
        <v>70400</v>
      </c>
      <c r="Q4" s="11"/>
    </row>
    <row r="5" spans="1:17">
      <c r="A5" s="13" t="s">
        <v>77</v>
      </c>
      <c r="B5" s="7" t="s">
        <v>75</v>
      </c>
      <c r="C5" s="14"/>
      <c r="D5" s="14" t="s">
        <v>93</v>
      </c>
      <c r="E5" s="27" t="s">
        <v>94</v>
      </c>
      <c r="F5" s="19"/>
      <c r="G5" s="8" t="s">
        <v>125</v>
      </c>
      <c r="H5" s="8"/>
      <c r="I5" s="12" t="s">
        <v>91</v>
      </c>
      <c r="J5" s="12" t="s">
        <v>76</v>
      </c>
      <c r="K5" s="16"/>
      <c r="L5" s="12" t="s">
        <v>116</v>
      </c>
      <c r="M5" s="18">
        <v>5</v>
      </c>
      <c r="N5" s="14"/>
      <c r="O5" s="10">
        <v>8800</v>
      </c>
      <c r="P5" s="10">
        <f t="shared" si="0"/>
        <v>44000</v>
      </c>
      <c r="Q5" s="11"/>
    </row>
    <row r="6" spans="1:17">
      <c r="A6" s="13" t="s">
        <v>77</v>
      </c>
      <c r="B6" s="7" t="s">
        <v>75</v>
      </c>
      <c r="C6" s="14"/>
      <c r="D6" s="14" t="s">
        <v>126</v>
      </c>
      <c r="E6" s="27" t="s">
        <v>127</v>
      </c>
      <c r="F6" s="19"/>
      <c r="G6" s="8" t="s">
        <v>97</v>
      </c>
      <c r="H6" s="8"/>
      <c r="I6" s="12" t="s">
        <v>91</v>
      </c>
      <c r="J6" s="12" t="s">
        <v>76</v>
      </c>
      <c r="K6" s="16"/>
      <c r="L6" s="12" t="s">
        <v>116</v>
      </c>
      <c r="M6" s="18">
        <v>5</v>
      </c>
      <c r="N6" s="14"/>
      <c r="O6" s="10">
        <v>8800</v>
      </c>
      <c r="P6" s="10">
        <f t="shared" si="0"/>
        <v>44000</v>
      </c>
      <c r="Q6" s="27"/>
    </row>
    <row r="7" spans="1:17">
      <c r="A7" s="13" t="s">
        <v>77</v>
      </c>
      <c r="B7" s="7" t="s">
        <v>75</v>
      </c>
      <c r="C7" s="14"/>
      <c r="D7" s="14" t="s">
        <v>82</v>
      </c>
      <c r="E7" s="27" t="s">
        <v>83</v>
      </c>
      <c r="F7" s="19"/>
      <c r="G7" s="15">
        <v>250904</v>
      </c>
      <c r="H7" s="8"/>
      <c r="I7" s="12" t="s">
        <v>91</v>
      </c>
      <c r="J7" s="12" t="s">
        <v>76</v>
      </c>
      <c r="K7" s="16"/>
      <c r="L7" s="12" t="s">
        <v>116</v>
      </c>
      <c r="M7" s="18">
        <v>5</v>
      </c>
      <c r="N7" s="14"/>
      <c r="O7" s="10">
        <v>8800</v>
      </c>
      <c r="P7" s="10">
        <f t="shared" si="0"/>
        <v>44000</v>
      </c>
      <c r="Q7" s="27"/>
    </row>
    <row r="8" spans="1:17">
      <c r="A8" s="13" t="s">
        <v>77</v>
      </c>
      <c r="B8" s="7" t="s">
        <v>75</v>
      </c>
      <c r="C8" s="14"/>
      <c r="D8" s="14" t="s">
        <v>85</v>
      </c>
      <c r="E8" s="27" t="s">
        <v>86</v>
      </c>
      <c r="F8" s="8"/>
      <c r="G8" s="28">
        <v>250904</v>
      </c>
      <c r="H8" s="8"/>
      <c r="I8" s="12" t="s">
        <v>91</v>
      </c>
      <c r="J8" s="12" t="s">
        <v>76</v>
      </c>
      <c r="K8" s="16"/>
      <c r="L8" s="12" t="s">
        <v>116</v>
      </c>
      <c r="M8" s="18">
        <v>5</v>
      </c>
      <c r="N8" s="14"/>
      <c r="O8" s="10">
        <v>8800</v>
      </c>
      <c r="P8" s="10">
        <f t="shared" si="0"/>
        <v>44000</v>
      </c>
      <c r="Q8" s="27"/>
    </row>
    <row r="9" spans="1:17">
      <c r="A9" s="13" t="s">
        <v>77</v>
      </c>
      <c r="B9" s="7" t="s">
        <v>75</v>
      </c>
      <c r="C9" s="14"/>
      <c r="D9" s="14" t="s">
        <v>87</v>
      </c>
      <c r="E9" s="27" t="s">
        <v>88</v>
      </c>
      <c r="F9" s="19"/>
      <c r="G9" s="8" t="s">
        <v>128</v>
      </c>
      <c r="H9" s="8"/>
      <c r="I9" s="12" t="s">
        <v>91</v>
      </c>
      <c r="J9" s="12" t="s">
        <v>76</v>
      </c>
      <c r="K9" s="16"/>
      <c r="L9" s="12" t="s">
        <v>116</v>
      </c>
      <c r="M9" s="18">
        <v>5</v>
      </c>
      <c r="N9" s="14"/>
      <c r="O9" s="10">
        <v>8800</v>
      </c>
      <c r="P9" s="10">
        <f t="shared" si="0"/>
        <v>44000</v>
      </c>
      <c r="Q9" s="27"/>
    </row>
    <row r="10" spans="1:17">
      <c r="A10" s="13" t="s">
        <v>77</v>
      </c>
      <c r="B10" s="7" t="s">
        <v>75</v>
      </c>
      <c r="C10" s="14"/>
      <c r="D10" s="27" t="s">
        <v>129</v>
      </c>
      <c r="E10" s="27" t="s">
        <v>130</v>
      </c>
      <c r="F10" s="19"/>
      <c r="G10" s="15">
        <v>251014</v>
      </c>
      <c r="H10" s="15"/>
      <c r="I10" s="12" t="s">
        <v>91</v>
      </c>
      <c r="J10" s="12" t="s">
        <v>76</v>
      </c>
      <c r="K10" s="16"/>
      <c r="L10" s="12" t="s">
        <v>116</v>
      </c>
      <c r="M10" s="18">
        <v>5</v>
      </c>
      <c r="N10" s="14"/>
      <c r="O10" s="10">
        <v>14080</v>
      </c>
      <c r="P10" s="10">
        <f t="shared" si="0"/>
        <v>70400</v>
      </c>
      <c r="Q10" s="27"/>
    </row>
    <row r="11" spans="1:17">
      <c r="A11" s="13" t="s">
        <v>77</v>
      </c>
      <c r="B11" s="7" t="s">
        <v>75</v>
      </c>
      <c r="C11" s="14"/>
      <c r="D11" s="27" t="s">
        <v>132</v>
      </c>
      <c r="E11" s="27" t="s">
        <v>131</v>
      </c>
      <c r="F11" s="19"/>
      <c r="G11" s="15">
        <v>251014</v>
      </c>
      <c r="H11" s="15"/>
      <c r="I11" s="12" t="s">
        <v>91</v>
      </c>
      <c r="J11" s="12" t="s">
        <v>76</v>
      </c>
      <c r="K11" s="16"/>
      <c r="L11" s="12" t="s">
        <v>116</v>
      </c>
      <c r="M11" s="18">
        <v>5</v>
      </c>
      <c r="N11" s="14"/>
      <c r="O11" s="10">
        <v>14080</v>
      </c>
      <c r="P11" s="10">
        <f t="shared" si="0"/>
        <v>70400</v>
      </c>
      <c r="Q11" s="27"/>
    </row>
    <row r="12" spans="1:17">
      <c r="A12" s="13" t="s">
        <v>77</v>
      </c>
      <c r="B12" s="7" t="s">
        <v>75</v>
      </c>
      <c r="C12" s="14"/>
      <c r="D12" s="14" t="s">
        <v>113</v>
      </c>
      <c r="E12" s="14" t="s">
        <v>133</v>
      </c>
      <c r="F12" s="8"/>
      <c r="G12" s="15">
        <v>250918</v>
      </c>
      <c r="H12" s="15"/>
      <c r="I12" s="12" t="s">
        <v>91</v>
      </c>
      <c r="J12" s="12" t="s">
        <v>76</v>
      </c>
      <c r="K12" s="16"/>
      <c r="L12" s="12" t="s">
        <v>116</v>
      </c>
      <c r="M12" s="18">
        <v>5</v>
      </c>
      <c r="N12" s="14"/>
      <c r="O12" s="10">
        <v>14080</v>
      </c>
      <c r="P12" s="10">
        <f t="shared" si="0"/>
        <v>70400</v>
      </c>
      <c r="Q12" s="27"/>
    </row>
    <row r="13" spans="1:17">
      <c r="A13" s="13" t="s">
        <v>77</v>
      </c>
      <c r="B13" s="7" t="s">
        <v>75</v>
      </c>
      <c r="C13" s="14"/>
      <c r="D13" s="14" t="s">
        <v>134</v>
      </c>
      <c r="E13" s="27" t="s">
        <v>135</v>
      </c>
      <c r="F13" s="19"/>
      <c r="G13" s="15">
        <v>251014</v>
      </c>
      <c r="H13" s="15"/>
      <c r="I13" s="12" t="s">
        <v>91</v>
      </c>
      <c r="J13" s="12" t="s">
        <v>76</v>
      </c>
      <c r="K13" s="16"/>
      <c r="L13" s="12" t="s">
        <v>116</v>
      </c>
      <c r="M13" s="18">
        <v>10</v>
      </c>
      <c r="N13" s="14"/>
      <c r="O13" s="10">
        <v>14080</v>
      </c>
      <c r="P13" s="10">
        <f t="shared" si="0"/>
        <v>140800</v>
      </c>
      <c r="Q13" s="27"/>
    </row>
    <row r="14" spans="1:17">
      <c r="A14" s="13" t="s">
        <v>77</v>
      </c>
      <c r="B14" s="7" t="s">
        <v>75</v>
      </c>
      <c r="C14" s="14"/>
      <c r="D14" s="14" t="s">
        <v>137</v>
      </c>
      <c r="E14" s="27" t="s">
        <v>136</v>
      </c>
      <c r="F14" s="19"/>
      <c r="G14" s="15">
        <v>251014</v>
      </c>
      <c r="H14" s="15"/>
      <c r="I14" s="12" t="s">
        <v>91</v>
      </c>
      <c r="J14" s="12" t="s">
        <v>76</v>
      </c>
      <c r="K14" s="16"/>
      <c r="L14" s="12" t="s">
        <v>116</v>
      </c>
      <c r="M14" s="18">
        <v>5</v>
      </c>
      <c r="N14" s="14"/>
      <c r="O14" s="32">
        <v>14080</v>
      </c>
      <c r="P14" s="10">
        <f t="shared" si="0"/>
        <v>70400</v>
      </c>
      <c r="Q14" s="27"/>
    </row>
    <row r="15" spans="1:17">
      <c r="A15" s="13" t="s">
        <v>77</v>
      </c>
      <c r="B15" s="7" t="s">
        <v>75</v>
      </c>
      <c r="C15" s="14"/>
      <c r="D15" s="14" t="s">
        <v>139</v>
      </c>
      <c r="E15" s="14" t="s">
        <v>138</v>
      </c>
      <c r="F15" s="19"/>
      <c r="G15" s="15">
        <v>251014</v>
      </c>
      <c r="H15" s="15"/>
      <c r="I15" s="12" t="s">
        <v>91</v>
      </c>
      <c r="J15" s="12" t="s">
        <v>76</v>
      </c>
      <c r="K15" s="16"/>
      <c r="L15" s="12" t="s">
        <v>116</v>
      </c>
      <c r="M15" s="18">
        <v>5</v>
      </c>
      <c r="N15" s="14"/>
      <c r="O15" s="32">
        <v>14080</v>
      </c>
      <c r="P15" s="10">
        <f t="shared" si="0"/>
        <v>70400</v>
      </c>
      <c r="Q15" s="27"/>
    </row>
    <row r="16" spans="1:17">
      <c r="A16" s="13" t="s">
        <v>77</v>
      </c>
      <c r="B16" s="7" t="s">
        <v>75</v>
      </c>
      <c r="C16" s="14"/>
      <c r="D16" s="14" t="s">
        <v>140</v>
      </c>
      <c r="E16" s="14" t="s">
        <v>141</v>
      </c>
      <c r="F16" s="8"/>
      <c r="G16" s="15">
        <v>251014</v>
      </c>
      <c r="H16" s="15"/>
      <c r="I16" s="12" t="s">
        <v>81</v>
      </c>
      <c r="J16" s="12" t="s">
        <v>76</v>
      </c>
      <c r="K16" s="8"/>
      <c r="L16" s="12" t="s">
        <v>116</v>
      </c>
      <c r="M16" s="9">
        <v>10</v>
      </c>
      <c r="N16" s="27"/>
      <c r="O16" s="32">
        <v>17600</v>
      </c>
      <c r="P16" s="10">
        <f t="shared" si="0"/>
        <v>176000</v>
      </c>
      <c r="Q16" s="27"/>
    </row>
    <row r="17" spans="1:17">
      <c r="A17" s="13" t="s">
        <v>79</v>
      </c>
      <c r="B17" s="7" t="s">
        <v>75</v>
      </c>
      <c r="C17" s="14"/>
      <c r="D17" s="14" t="s">
        <v>142</v>
      </c>
      <c r="E17" s="14" t="s">
        <v>143</v>
      </c>
      <c r="F17" s="29"/>
      <c r="G17" s="15">
        <v>251014</v>
      </c>
      <c r="H17" s="15"/>
      <c r="I17" s="12" t="s">
        <v>81</v>
      </c>
      <c r="J17" s="12" t="s">
        <v>76</v>
      </c>
      <c r="K17" s="8"/>
      <c r="L17" s="12" t="s">
        <v>116</v>
      </c>
      <c r="M17" s="9">
        <v>10</v>
      </c>
      <c r="N17" s="27"/>
      <c r="O17" s="32">
        <v>17600</v>
      </c>
      <c r="P17" s="10">
        <f t="shared" si="0"/>
        <v>176000</v>
      </c>
      <c r="Q17" s="27"/>
    </row>
    <row r="18" spans="1:17">
      <c r="A18" s="13" t="s">
        <v>77</v>
      </c>
      <c r="B18" s="7" t="s">
        <v>75</v>
      </c>
      <c r="C18" s="14"/>
      <c r="D18" s="14" t="s">
        <v>144</v>
      </c>
      <c r="E18" s="14" t="s">
        <v>145</v>
      </c>
      <c r="F18" s="29"/>
      <c r="G18" s="15">
        <v>251014</v>
      </c>
      <c r="H18" s="15"/>
      <c r="I18" s="12" t="s">
        <v>81</v>
      </c>
      <c r="J18" s="12" t="s">
        <v>76</v>
      </c>
      <c r="K18" s="8"/>
      <c r="L18" s="12" t="s">
        <v>116</v>
      </c>
      <c r="M18" s="9">
        <v>2</v>
      </c>
      <c r="N18" s="27"/>
      <c r="O18" s="32">
        <v>17600</v>
      </c>
      <c r="P18" s="10">
        <f t="shared" si="0"/>
        <v>35200</v>
      </c>
      <c r="Q18" s="27"/>
    </row>
    <row r="19" spans="1:17">
      <c r="A19" s="13" t="s">
        <v>77</v>
      </c>
      <c r="B19" s="7" t="s">
        <v>75</v>
      </c>
      <c r="C19" s="14"/>
      <c r="D19" s="14" t="s">
        <v>146</v>
      </c>
      <c r="E19" s="20" t="s">
        <v>147</v>
      </c>
      <c r="F19" s="29"/>
      <c r="G19" s="15">
        <v>240109</v>
      </c>
      <c r="H19" s="15"/>
      <c r="I19" s="12" t="s">
        <v>81</v>
      </c>
      <c r="J19" s="12" t="s">
        <v>76</v>
      </c>
      <c r="K19" s="8"/>
      <c r="L19" s="12" t="s">
        <v>116</v>
      </c>
      <c r="M19" s="9">
        <v>3</v>
      </c>
      <c r="N19" s="27"/>
      <c r="O19" s="32">
        <v>17600</v>
      </c>
      <c r="P19" s="10">
        <f t="shared" si="0"/>
        <v>52800</v>
      </c>
      <c r="Q19" s="27"/>
    </row>
    <row r="20" spans="1:17">
      <c r="A20" s="13" t="s">
        <v>77</v>
      </c>
      <c r="B20" s="7" t="s">
        <v>75</v>
      </c>
      <c r="C20" s="14"/>
      <c r="D20" s="14" t="s">
        <v>149</v>
      </c>
      <c r="E20" s="14" t="s">
        <v>148</v>
      </c>
      <c r="F20" s="29"/>
      <c r="G20" s="15">
        <v>251014</v>
      </c>
      <c r="H20" s="15"/>
      <c r="I20" s="12" t="s">
        <v>81</v>
      </c>
      <c r="J20" s="12" t="s">
        <v>76</v>
      </c>
      <c r="K20" s="12"/>
      <c r="L20" s="12" t="s">
        <v>116</v>
      </c>
      <c r="M20" s="9">
        <v>5</v>
      </c>
      <c r="N20" s="27"/>
      <c r="O20" s="32">
        <v>17600</v>
      </c>
      <c r="P20" s="10">
        <f t="shared" si="0"/>
        <v>88000</v>
      </c>
      <c r="Q20" s="27"/>
    </row>
    <row r="21" spans="1:17">
      <c r="A21" s="13" t="s">
        <v>77</v>
      </c>
      <c r="B21" s="7" t="s">
        <v>75</v>
      </c>
      <c r="C21" s="14"/>
      <c r="D21" s="14" t="s">
        <v>150</v>
      </c>
      <c r="E21" s="14" t="s">
        <v>151</v>
      </c>
      <c r="F21" s="8"/>
      <c r="G21" s="15">
        <v>251014</v>
      </c>
      <c r="H21" s="15"/>
      <c r="I21" s="12" t="s">
        <v>81</v>
      </c>
      <c r="J21" s="12" t="s">
        <v>76</v>
      </c>
      <c r="K21" s="8"/>
      <c r="L21" s="12" t="s">
        <v>116</v>
      </c>
      <c r="M21" s="9">
        <v>5</v>
      </c>
      <c r="N21" s="27"/>
      <c r="O21" s="32">
        <v>17600</v>
      </c>
      <c r="P21" s="10">
        <f t="shared" si="0"/>
        <v>88000</v>
      </c>
      <c r="Q21" s="27"/>
    </row>
    <row r="22" spans="1:17">
      <c r="A22" s="13" t="s">
        <v>77</v>
      </c>
      <c r="B22" s="7" t="s">
        <v>75</v>
      </c>
      <c r="C22" s="14"/>
      <c r="D22" s="14" t="s">
        <v>112</v>
      </c>
      <c r="E22" s="14" t="s">
        <v>152</v>
      </c>
      <c r="F22" s="8"/>
      <c r="G22" s="15">
        <v>250918</v>
      </c>
      <c r="H22" s="15"/>
      <c r="I22" s="34" t="s">
        <v>153</v>
      </c>
      <c r="J22" s="12" t="s">
        <v>76</v>
      </c>
      <c r="K22" s="8"/>
      <c r="L22" s="12" t="s">
        <v>154</v>
      </c>
      <c r="M22" s="9">
        <v>9</v>
      </c>
      <c r="N22" s="27"/>
      <c r="O22" s="32">
        <v>3300</v>
      </c>
      <c r="P22" s="10">
        <f t="shared" si="0"/>
        <v>29700</v>
      </c>
      <c r="Q22" s="27"/>
    </row>
    <row r="23" spans="1:17">
      <c r="A23" s="13" t="s">
        <v>79</v>
      </c>
      <c r="B23" s="7" t="s">
        <v>75</v>
      </c>
      <c r="C23" s="14"/>
      <c r="D23" s="14" t="s">
        <v>155</v>
      </c>
      <c r="E23" s="14" t="s">
        <v>156</v>
      </c>
      <c r="F23" s="8"/>
      <c r="G23" s="15">
        <v>251016</v>
      </c>
      <c r="H23" s="15"/>
      <c r="I23" s="34" t="s">
        <v>153</v>
      </c>
      <c r="J23" s="12" t="s">
        <v>76</v>
      </c>
      <c r="K23" s="8"/>
      <c r="L23" s="12" t="s">
        <v>154</v>
      </c>
      <c r="M23" s="9">
        <v>1</v>
      </c>
      <c r="N23" s="27"/>
      <c r="O23" s="32">
        <v>3300</v>
      </c>
      <c r="P23" s="10">
        <f t="shared" si="0"/>
        <v>3300</v>
      </c>
      <c r="Q23" s="27"/>
    </row>
    <row r="24" spans="1:17">
      <c r="A24" s="13" t="s">
        <v>77</v>
      </c>
      <c r="B24" s="7" t="s">
        <v>75</v>
      </c>
      <c r="C24" s="14"/>
      <c r="D24" s="27" t="s">
        <v>129</v>
      </c>
      <c r="E24" s="20" t="s">
        <v>130</v>
      </c>
      <c r="F24" s="8"/>
      <c r="G24" s="15">
        <v>251014</v>
      </c>
      <c r="H24" s="15"/>
      <c r="I24" s="36" t="s">
        <v>89</v>
      </c>
      <c r="J24" s="12" t="s">
        <v>76</v>
      </c>
      <c r="K24" s="8"/>
      <c r="L24" s="12" t="s">
        <v>157</v>
      </c>
      <c r="M24" s="9">
        <v>15</v>
      </c>
      <c r="N24" s="27"/>
      <c r="O24" s="32">
        <v>6600</v>
      </c>
      <c r="P24" s="10">
        <f t="shared" si="0"/>
        <v>99000</v>
      </c>
      <c r="Q24" s="27"/>
    </row>
    <row r="25" spans="1:17">
      <c r="A25" s="13" t="s">
        <v>77</v>
      </c>
      <c r="B25" s="7" t="s">
        <v>75</v>
      </c>
      <c r="C25" s="14"/>
      <c r="D25" s="27" t="s">
        <v>160</v>
      </c>
      <c r="E25" s="14" t="s">
        <v>158</v>
      </c>
      <c r="F25" s="8"/>
      <c r="G25" s="15">
        <v>251016</v>
      </c>
      <c r="H25" s="15"/>
      <c r="I25" s="36" t="s">
        <v>89</v>
      </c>
      <c r="J25" s="12" t="s">
        <v>76</v>
      </c>
      <c r="K25" s="8"/>
      <c r="L25" s="12" t="s">
        <v>157</v>
      </c>
      <c r="M25" s="9">
        <v>14</v>
      </c>
      <c r="N25" s="27"/>
      <c r="O25" s="32">
        <v>6600</v>
      </c>
      <c r="P25" s="10">
        <f t="shared" si="0"/>
        <v>92400</v>
      </c>
      <c r="Q25" s="27"/>
    </row>
    <row r="26" spans="1:17">
      <c r="A26" s="13" t="s">
        <v>77</v>
      </c>
      <c r="B26" s="7" t="s">
        <v>75</v>
      </c>
      <c r="C26" s="14"/>
      <c r="D26" s="27" t="s">
        <v>161</v>
      </c>
      <c r="E26" s="14" t="s">
        <v>159</v>
      </c>
      <c r="F26" s="8"/>
      <c r="G26" s="15">
        <v>250610</v>
      </c>
      <c r="H26" s="15"/>
      <c r="I26" s="36" t="s">
        <v>89</v>
      </c>
      <c r="J26" s="12" t="s">
        <v>76</v>
      </c>
      <c r="K26" s="8"/>
      <c r="L26" s="12" t="s">
        <v>157</v>
      </c>
      <c r="M26" s="9">
        <v>1</v>
      </c>
      <c r="N26" s="27"/>
      <c r="O26" s="32">
        <v>6600</v>
      </c>
      <c r="P26" s="10">
        <f t="shared" si="0"/>
        <v>6600</v>
      </c>
      <c r="Q26" s="27"/>
    </row>
    <row r="27" spans="1:17">
      <c r="A27" s="13" t="s">
        <v>77</v>
      </c>
      <c r="B27" s="7" t="s">
        <v>75</v>
      </c>
      <c r="C27" s="14"/>
      <c r="D27" s="14" t="s">
        <v>132</v>
      </c>
      <c r="E27" s="14" t="s">
        <v>131</v>
      </c>
      <c r="F27" s="8"/>
      <c r="G27" s="15">
        <v>251014</v>
      </c>
      <c r="H27" s="15"/>
      <c r="I27" s="36" t="s">
        <v>89</v>
      </c>
      <c r="J27" s="12" t="s">
        <v>76</v>
      </c>
      <c r="K27" s="8"/>
      <c r="L27" s="12" t="s">
        <v>157</v>
      </c>
      <c r="M27" s="9">
        <v>9</v>
      </c>
      <c r="N27" s="27"/>
      <c r="O27" s="32">
        <v>6600</v>
      </c>
      <c r="P27" s="10">
        <f t="shared" si="0"/>
        <v>59400</v>
      </c>
      <c r="Q27" s="27"/>
    </row>
    <row r="28" spans="1:17">
      <c r="A28" s="13" t="s">
        <v>77</v>
      </c>
      <c r="B28" s="7" t="s">
        <v>75</v>
      </c>
      <c r="C28" s="14"/>
      <c r="D28" s="14" t="s">
        <v>95</v>
      </c>
      <c r="E28" s="14" t="s">
        <v>96</v>
      </c>
      <c r="F28" s="8"/>
      <c r="G28" s="15">
        <v>250908</v>
      </c>
      <c r="H28" s="15"/>
      <c r="I28" s="36" t="s">
        <v>89</v>
      </c>
      <c r="J28" s="12" t="s">
        <v>76</v>
      </c>
      <c r="K28" s="8"/>
      <c r="L28" s="12" t="s">
        <v>157</v>
      </c>
      <c r="M28" s="9">
        <v>1</v>
      </c>
      <c r="N28" s="27"/>
      <c r="O28" s="32">
        <v>6600</v>
      </c>
      <c r="P28" s="10">
        <f t="shared" si="0"/>
        <v>6600</v>
      </c>
      <c r="Q28" s="27"/>
    </row>
    <row r="29" spans="1:17">
      <c r="A29" s="13" t="s">
        <v>77</v>
      </c>
      <c r="B29" s="7" t="s">
        <v>75</v>
      </c>
      <c r="C29" s="14"/>
      <c r="D29" s="27" t="s">
        <v>163</v>
      </c>
      <c r="E29" s="20" t="s">
        <v>162</v>
      </c>
      <c r="F29" s="8"/>
      <c r="G29" s="15">
        <v>251016</v>
      </c>
      <c r="H29" s="15"/>
      <c r="I29" s="36" t="s">
        <v>89</v>
      </c>
      <c r="J29" s="12" t="s">
        <v>76</v>
      </c>
      <c r="K29" s="8"/>
      <c r="L29" s="12" t="s">
        <v>157</v>
      </c>
      <c r="M29" s="9">
        <v>30</v>
      </c>
      <c r="N29" s="27"/>
      <c r="O29" s="32">
        <v>6600</v>
      </c>
      <c r="P29" s="10">
        <f t="shared" si="0"/>
        <v>198000</v>
      </c>
      <c r="Q29" s="27"/>
    </row>
    <row r="30" spans="1:17">
      <c r="A30" s="13" t="s">
        <v>77</v>
      </c>
      <c r="B30" s="7" t="s">
        <v>75</v>
      </c>
      <c r="C30" s="14"/>
      <c r="D30" s="14" t="s">
        <v>165</v>
      </c>
      <c r="E30" s="14" t="s">
        <v>164</v>
      </c>
      <c r="F30" s="8"/>
      <c r="G30" s="15">
        <v>251016</v>
      </c>
      <c r="H30" s="15"/>
      <c r="I30" s="36" t="s">
        <v>89</v>
      </c>
      <c r="J30" s="12" t="s">
        <v>76</v>
      </c>
      <c r="K30" s="8"/>
      <c r="L30" s="12" t="s">
        <v>157</v>
      </c>
      <c r="M30" s="9">
        <v>21</v>
      </c>
      <c r="N30" s="27"/>
      <c r="O30" s="32">
        <v>6600</v>
      </c>
      <c r="P30" s="10">
        <f t="shared" si="0"/>
        <v>138600</v>
      </c>
      <c r="Q30" s="27"/>
    </row>
    <row r="31" spans="1:17">
      <c r="A31" s="13" t="s">
        <v>77</v>
      </c>
      <c r="B31" s="7" t="s">
        <v>75</v>
      </c>
      <c r="C31" s="14"/>
      <c r="D31" s="14" t="s">
        <v>102</v>
      </c>
      <c r="E31" s="14" t="s">
        <v>103</v>
      </c>
      <c r="F31" s="8"/>
      <c r="G31" s="15">
        <v>250924</v>
      </c>
      <c r="H31" s="15"/>
      <c r="I31" s="36" t="s">
        <v>89</v>
      </c>
      <c r="J31" s="12" t="s">
        <v>76</v>
      </c>
      <c r="K31" s="8"/>
      <c r="L31" s="12" t="s">
        <v>157</v>
      </c>
      <c r="M31" s="9">
        <v>9</v>
      </c>
      <c r="N31" s="27"/>
      <c r="O31" s="32">
        <v>6600</v>
      </c>
      <c r="P31" s="10">
        <f t="shared" si="0"/>
        <v>59400</v>
      </c>
      <c r="Q31" s="27"/>
    </row>
    <row r="32" spans="1:17">
      <c r="A32" s="13" t="s">
        <v>77</v>
      </c>
      <c r="B32" s="7" t="s">
        <v>75</v>
      </c>
      <c r="C32" s="14"/>
      <c r="D32" s="27" t="s">
        <v>137</v>
      </c>
      <c r="E32" s="14" t="s">
        <v>136</v>
      </c>
      <c r="F32" s="8"/>
      <c r="G32" s="15">
        <v>251014</v>
      </c>
      <c r="H32" s="15"/>
      <c r="I32" s="36" t="s">
        <v>89</v>
      </c>
      <c r="J32" s="12" t="s">
        <v>76</v>
      </c>
      <c r="K32" s="8"/>
      <c r="L32" s="12" t="s">
        <v>157</v>
      </c>
      <c r="M32" s="9">
        <v>15</v>
      </c>
      <c r="N32" s="27"/>
      <c r="O32" s="32">
        <v>6600</v>
      </c>
      <c r="P32" s="10">
        <f t="shared" si="0"/>
        <v>99000</v>
      </c>
      <c r="Q32" s="27"/>
    </row>
    <row r="33" spans="1:17">
      <c r="A33" s="13" t="s">
        <v>77</v>
      </c>
      <c r="B33" s="7" t="s">
        <v>75</v>
      </c>
      <c r="C33" s="14"/>
      <c r="D33" s="14" t="s">
        <v>139</v>
      </c>
      <c r="E33" s="14" t="s">
        <v>138</v>
      </c>
      <c r="F33" s="8"/>
      <c r="G33" s="15">
        <v>251014</v>
      </c>
      <c r="H33" s="15"/>
      <c r="I33" s="36" t="s">
        <v>89</v>
      </c>
      <c r="J33" s="12" t="s">
        <v>76</v>
      </c>
      <c r="K33" s="8"/>
      <c r="L33" s="12" t="s">
        <v>157</v>
      </c>
      <c r="M33" s="9">
        <v>15</v>
      </c>
      <c r="N33" s="27"/>
      <c r="O33" s="32">
        <v>6600</v>
      </c>
      <c r="P33" s="10">
        <f t="shared" si="0"/>
        <v>99000</v>
      </c>
      <c r="Q33" s="27"/>
    </row>
    <row r="34" spans="1:17">
      <c r="A34" s="13" t="s">
        <v>77</v>
      </c>
      <c r="B34" s="7" t="s">
        <v>75</v>
      </c>
      <c r="C34" s="14"/>
      <c r="D34" s="14" t="s">
        <v>168</v>
      </c>
      <c r="E34" s="14" t="s">
        <v>166</v>
      </c>
      <c r="F34" s="8"/>
      <c r="G34" s="15">
        <v>251016</v>
      </c>
      <c r="H34" s="15"/>
      <c r="I34" s="36" t="s">
        <v>89</v>
      </c>
      <c r="J34" s="12" t="s">
        <v>76</v>
      </c>
      <c r="K34" s="8"/>
      <c r="L34" s="12" t="s">
        <v>157</v>
      </c>
      <c r="M34" s="9">
        <v>12</v>
      </c>
      <c r="N34" s="27"/>
      <c r="O34" s="32">
        <v>6600</v>
      </c>
      <c r="P34" s="10">
        <f t="shared" si="0"/>
        <v>79200</v>
      </c>
      <c r="Q34" s="27"/>
    </row>
    <row r="35" spans="1:17">
      <c r="A35" s="13" t="s">
        <v>77</v>
      </c>
      <c r="B35" s="7" t="s">
        <v>75</v>
      </c>
      <c r="C35" s="14"/>
      <c r="D35" s="14" t="s">
        <v>169</v>
      </c>
      <c r="E35" s="27" t="s">
        <v>167</v>
      </c>
      <c r="F35" s="27"/>
      <c r="G35" s="28">
        <v>250811</v>
      </c>
      <c r="H35" s="15"/>
      <c r="I35" s="36" t="s">
        <v>89</v>
      </c>
      <c r="J35" s="12" t="s">
        <v>76</v>
      </c>
      <c r="K35" s="8"/>
      <c r="L35" s="12" t="s">
        <v>157</v>
      </c>
      <c r="M35" s="9">
        <v>8</v>
      </c>
      <c r="N35" s="27"/>
      <c r="O35" s="32">
        <v>6600</v>
      </c>
      <c r="P35" s="10">
        <f t="shared" si="0"/>
        <v>52800</v>
      </c>
      <c r="Q35" s="27"/>
    </row>
    <row r="36" spans="1:17">
      <c r="A36" s="13" t="s">
        <v>77</v>
      </c>
      <c r="B36" s="7" t="s">
        <v>75</v>
      </c>
      <c r="C36" s="14"/>
      <c r="D36" s="14" t="s">
        <v>171</v>
      </c>
      <c r="E36" s="27" t="s">
        <v>170</v>
      </c>
      <c r="F36" s="8"/>
      <c r="G36" s="28">
        <v>250319</v>
      </c>
      <c r="H36" s="15"/>
      <c r="I36" s="36" t="s">
        <v>98</v>
      </c>
      <c r="J36" s="12" t="s">
        <v>76</v>
      </c>
      <c r="K36" s="8"/>
      <c r="L36" s="12" t="s">
        <v>157</v>
      </c>
      <c r="M36" s="9">
        <v>2</v>
      </c>
      <c r="N36" s="27"/>
      <c r="O36" s="32">
        <v>9900</v>
      </c>
      <c r="P36" s="10">
        <f t="shared" si="0"/>
        <v>19800</v>
      </c>
      <c r="Q36" s="27"/>
    </row>
    <row r="37" spans="1:17">
      <c r="A37" s="13" t="s">
        <v>77</v>
      </c>
      <c r="B37" s="7" t="s">
        <v>75</v>
      </c>
      <c r="C37" s="14"/>
      <c r="D37" s="14" t="s">
        <v>173</v>
      </c>
      <c r="E37" s="14" t="s">
        <v>172</v>
      </c>
      <c r="F37" s="8"/>
      <c r="G37" s="15">
        <v>251017</v>
      </c>
      <c r="H37" s="15"/>
      <c r="I37" s="36" t="s">
        <v>98</v>
      </c>
      <c r="J37" s="12" t="s">
        <v>76</v>
      </c>
      <c r="K37" s="8"/>
      <c r="L37" s="12" t="s">
        <v>157</v>
      </c>
      <c r="M37" s="9">
        <v>3</v>
      </c>
      <c r="N37" s="27"/>
      <c r="O37" s="32">
        <v>9900</v>
      </c>
      <c r="P37" s="10">
        <f t="shared" si="0"/>
        <v>29700</v>
      </c>
      <c r="Q37" s="27"/>
    </row>
    <row r="38" spans="1:17">
      <c r="A38" s="13" t="s">
        <v>77</v>
      </c>
      <c r="B38" s="7" t="s">
        <v>90</v>
      </c>
      <c r="C38" s="14"/>
      <c r="D38" s="14" t="s">
        <v>99</v>
      </c>
      <c r="E38" s="14" t="s">
        <v>100</v>
      </c>
      <c r="F38" s="8"/>
      <c r="G38" s="15">
        <v>250716</v>
      </c>
      <c r="H38" s="15"/>
      <c r="I38" s="36" t="s">
        <v>98</v>
      </c>
      <c r="J38" s="12" t="s">
        <v>76</v>
      </c>
      <c r="K38" s="8"/>
      <c r="L38" s="12" t="s">
        <v>157</v>
      </c>
      <c r="M38" s="9">
        <v>2</v>
      </c>
      <c r="N38" s="27"/>
      <c r="O38" s="32">
        <v>9900</v>
      </c>
      <c r="P38" s="10">
        <f t="shared" si="0"/>
        <v>19800</v>
      </c>
      <c r="Q38" s="27"/>
    </row>
    <row r="39" spans="1:17">
      <c r="A39" s="13" t="s">
        <v>77</v>
      </c>
      <c r="B39" s="7" t="s">
        <v>75</v>
      </c>
      <c r="C39" s="14"/>
      <c r="D39" s="14" t="s">
        <v>175</v>
      </c>
      <c r="E39" s="14" t="s">
        <v>174</v>
      </c>
      <c r="F39" s="8"/>
      <c r="G39" s="15">
        <v>251017</v>
      </c>
      <c r="H39" s="15"/>
      <c r="I39" s="36" t="s">
        <v>98</v>
      </c>
      <c r="J39" s="12" t="s">
        <v>76</v>
      </c>
      <c r="K39" s="8"/>
      <c r="L39" s="12" t="s">
        <v>157</v>
      </c>
      <c r="M39" s="9">
        <v>4</v>
      </c>
      <c r="N39" s="27"/>
      <c r="O39" s="32">
        <v>9900</v>
      </c>
      <c r="P39" s="10">
        <f t="shared" si="0"/>
        <v>39600</v>
      </c>
      <c r="Q39" s="27"/>
    </row>
    <row r="40" spans="1:17">
      <c r="A40" s="13" t="s">
        <v>77</v>
      </c>
      <c r="B40" s="7" t="s">
        <v>75</v>
      </c>
      <c r="C40" s="14"/>
      <c r="D40" s="14" t="s">
        <v>179</v>
      </c>
      <c r="E40" s="14" t="s">
        <v>177</v>
      </c>
      <c r="F40" s="8"/>
      <c r="G40" s="15">
        <v>251016</v>
      </c>
      <c r="H40" s="15"/>
      <c r="I40" s="36" t="s">
        <v>176</v>
      </c>
      <c r="J40" s="12" t="s">
        <v>76</v>
      </c>
      <c r="K40" s="8"/>
      <c r="L40" s="12" t="s">
        <v>117</v>
      </c>
      <c r="M40" s="32">
        <v>5</v>
      </c>
      <c r="N40" s="27"/>
      <c r="O40" s="32">
        <v>14080</v>
      </c>
      <c r="P40" s="10">
        <f t="shared" si="0"/>
        <v>70400</v>
      </c>
      <c r="Q40" s="27"/>
    </row>
    <row r="41" spans="1:17">
      <c r="A41" s="13" t="s">
        <v>77</v>
      </c>
      <c r="B41" s="7" t="s">
        <v>92</v>
      </c>
      <c r="C41" s="14"/>
      <c r="D41" s="14" t="s">
        <v>180</v>
      </c>
      <c r="E41" s="14" t="s">
        <v>178</v>
      </c>
      <c r="F41" s="8"/>
      <c r="G41" s="15">
        <v>251020</v>
      </c>
      <c r="H41" s="15"/>
      <c r="I41" s="36" t="s">
        <v>176</v>
      </c>
      <c r="J41" s="12" t="s">
        <v>76</v>
      </c>
      <c r="K41" s="8"/>
      <c r="L41" s="12" t="s">
        <v>117</v>
      </c>
      <c r="M41" s="32">
        <v>5</v>
      </c>
      <c r="N41" s="27"/>
      <c r="O41" s="10">
        <v>14080</v>
      </c>
      <c r="P41" s="10">
        <f t="shared" si="0"/>
        <v>70400</v>
      </c>
      <c r="Q41" s="27"/>
    </row>
    <row r="42" spans="1:17">
      <c r="A42" s="13" t="s">
        <v>77</v>
      </c>
      <c r="B42" s="7" t="s">
        <v>75</v>
      </c>
      <c r="C42" s="14"/>
      <c r="D42" s="14" t="s">
        <v>168</v>
      </c>
      <c r="E42" s="14" t="s">
        <v>166</v>
      </c>
      <c r="F42" s="8"/>
      <c r="G42" s="15">
        <v>251016</v>
      </c>
      <c r="H42" s="15"/>
      <c r="I42" s="36" t="s">
        <v>176</v>
      </c>
      <c r="J42" s="12" t="s">
        <v>76</v>
      </c>
      <c r="K42" s="8"/>
      <c r="L42" s="12" t="s">
        <v>117</v>
      </c>
      <c r="M42" s="32">
        <v>8</v>
      </c>
      <c r="N42" s="27"/>
      <c r="O42" s="10">
        <v>14080</v>
      </c>
      <c r="P42" s="10">
        <f t="shared" si="0"/>
        <v>112640</v>
      </c>
      <c r="Q42" s="41"/>
    </row>
    <row r="43" spans="1:17">
      <c r="A43" s="13" t="s">
        <v>77</v>
      </c>
      <c r="B43" s="7" t="s">
        <v>75</v>
      </c>
      <c r="C43" s="27"/>
      <c r="D43" s="14" t="s">
        <v>182</v>
      </c>
      <c r="E43" s="27" t="s">
        <v>181</v>
      </c>
      <c r="F43" s="8"/>
      <c r="G43" s="15">
        <v>251017</v>
      </c>
      <c r="H43" s="15"/>
      <c r="I43" s="36" t="s">
        <v>176</v>
      </c>
      <c r="J43" s="12" t="s">
        <v>76</v>
      </c>
      <c r="K43" s="8"/>
      <c r="L43" s="12" t="s">
        <v>117</v>
      </c>
      <c r="M43" s="32">
        <v>2</v>
      </c>
      <c r="N43" s="27"/>
      <c r="O43" s="10">
        <v>14080</v>
      </c>
      <c r="P43" s="10">
        <f t="shared" si="0"/>
        <v>28160</v>
      </c>
      <c r="Q43" s="41"/>
    </row>
    <row r="44" spans="1:17">
      <c r="A44" s="13" t="s">
        <v>77</v>
      </c>
      <c r="B44" s="7" t="s">
        <v>75</v>
      </c>
      <c r="C44" s="14"/>
      <c r="D44" s="14" t="s">
        <v>184</v>
      </c>
      <c r="E44" s="27" t="s">
        <v>183</v>
      </c>
      <c r="F44" s="8"/>
      <c r="G44" s="28">
        <v>251017</v>
      </c>
      <c r="H44" s="15"/>
      <c r="I44" s="36" t="s">
        <v>176</v>
      </c>
      <c r="J44" s="12" t="s">
        <v>76</v>
      </c>
      <c r="K44" s="8"/>
      <c r="L44" s="12" t="s">
        <v>117</v>
      </c>
      <c r="M44" s="9">
        <v>10</v>
      </c>
      <c r="N44" s="27"/>
      <c r="O44" s="10">
        <v>14080</v>
      </c>
      <c r="P44" s="10">
        <f t="shared" si="0"/>
        <v>140800</v>
      </c>
      <c r="Q44" s="27"/>
    </row>
    <row r="45" spans="1:17">
      <c r="A45" s="13" t="s">
        <v>77</v>
      </c>
      <c r="B45" s="7" t="s">
        <v>75</v>
      </c>
      <c r="C45" s="14"/>
      <c r="D45" s="14" t="s">
        <v>120</v>
      </c>
      <c r="E45" s="27" t="s">
        <v>185</v>
      </c>
      <c r="F45" s="8"/>
      <c r="G45" s="15">
        <v>251002</v>
      </c>
      <c r="H45" s="15"/>
      <c r="I45" s="36" t="s">
        <v>176</v>
      </c>
      <c r="J45" s="12" t="s">
        <v>76</v>
      </c>
      <c r="K45" s="8"/>
      <c r="L45" s="12" t="s">
        <v>117</v>
      </c>
      <c r="M45" s="9">
        <v>10</v>
      </c>
      <c r="N45" s="27"/>
      <c r="O45" s="10">
        <v>8800</v>
      </c>
      <c r="P45" s="10">
        <f t="shared" si="0"/>
        <v>88000</v>
      </c>
      <c r="Q45" s="27"/>
    </row>
    <row r="46" spans="1:17">
      <c r="A46" s="13" t="s">
        <v>77</v>
      </c>
      <c r="B46" s="7" t="s">
        <v>75</v>
      </c>
      <c r="C46" s="14"/>
      <c r="D46" s="14" t="s">
        <v>187</v>
      </c>
      <c r="E46" s="27" t="s">
        <v>186</v>
      </c>
      <c r="F46" s="8"/>
      <c r="G46" s="15">
        <v>251017</v>
      </c>
      <c r="H46" s="15"/>
      <c r="I46" s="36" t="s">
        <v>176</v>
      </c>
      <c r="J46" s="12" t="s">
        <v>76</v>
      </c>
      <c r="K46" s="8"/>
      <c r="L46" s="12" t="s">
        <v>117</v>
      </c>
      <c r="M46" s="9">
        <v>10</v>
      </c>
      <c r="N46" s="27"/>
      <c r="O46" s="10">
        <v>8800</v>
      </c>
      <c r="P46" s="10">
        <f t="shared" si="0"/>
        <v>88000</v>
      </c>
      <c r="Q46" s="27"/>
    </row>
    <row r="47" spans="1:17">
      <c r="A47" s="13" t="s">
        <v>79</v>
      </c>
      <c r="B47" s="7" t="s">
        <v>75</v>
      </c>
      <c r="C47" s="14"/>
      <c r="D47" s="14" t="s">
        <v>190</v>
      </c>
      <c r="E47" s="27" t="s">
        <v>188</v>
      </c>
      <c r="F47" s="8"/>
      <c r="G47" s="15">
        <v>251020</v>
      </c>
      <c r="H47" s="15"/>
      <c r="I47" s="36" t="s">
        <v>176</v>
      </c>
      <c r="J47" s="12" t="s">
        <v>76</v>
      </c>
      <c r="K47" s="8"/>
      <c r="L47" s="12" t="s">
        <v>117</v>
      </c>
      <c r="M47" s="9">
        <v>8</v>
      </c>
      <c r="N47" s="27"/>
      <c r="O47" s="10">
        <v>8800</v>
      </c>
      <c r="P47" s="10">
        <f t="shared" si="0"/>
        <v>70400</v>
      </c>
      <c r="Q47" s="27"/>
    </row>
    <row r="48" spans="1:17">
      <c r="A48" s="13" t="s">
        <v>77</v>
      </c>
      <c r="B48" s="7" t="s">
        <v>75</v>
      </c>
      <c r="C48" s="14"/>
      <c r="D48" s="14" t="s">
        <v>191</v>
      </c>
      <c r="E48" s="27" t="s">
        <v>189</v>
      </c>
      <c r="F48" s="8"/>
      <c r="G48" s="15">
        <v>250904</v>
      </c>
      <c r="H48" s="15"/>
      <c r="I48" s="36" t="s">
        <v>176</v>
      </c>
      <c r="J48" s="12" t="s">
        <v>76</v>
      </c>
      <c r="K48" s="8"/>
      <c r="L48" s="12" t="s">
        <v>117</v>
      </c>
      <c r="M48" s="9">
        <v>2</v>
      </c>
      <c r="N48" s="27"/>
      <c r="O48" s="10">
        <v>8800</v>
      </c>
      <c r="P48" s="10">
        <f t="shared" si="0"/>
        <v>17600</v>
      </c>
      <c r="Q48" s="27"/>
    </row>
    <row r="49" spans="1:17">
      <c r="A49" s="13" t="s">
        <v>77</v>
      </c>
      <c r="B49" s="7" t="s">
        <v>75</v>
      </c>
      <c r="C49" s="14"/>
      <c r="D49" s="13" t="s">
        <v>192</v>
      </c>
      <c r="E49" s="14" t="s">
        <v>193</v>
      </c>
      <c r="F49" s="8"/>
      <c r="G49" s="28">
        <v>251016</v>
      </c>
      <c r="H49" s="28"/>
      <c r="I49" s="33" t="s">
        <v>89</v>
      </c>
      <c r="J49" s="12" t="s">
        <v>76</v>
      </c>
      <c r="K49" s="8"/>
      <c r="L49" s="12" t="s">
        <v>117</v>
      </c>
      <c r="M49" s="9">
        <v>15</v>
      </c>
      <c r="N49" s="27"/>
      <c r="O49" s="10">
        <v>6600</v>
      </c>
      <c r="P49" s="10">
        <f t="shared" si="0"/>
        <v>99000</v>
      </c>
      <c r="Q49" s="27"/>
    </row>
    <row r="50" spans="1:17">
      <c r="A50" s="13" t="s">
        <v>77</v>
      </c>
      <c r="B50" s="7" t="s">
        <v>75</v>
      </c>
      <c r="C50" s="14"/>
      <c r="D50" s="13" t="s">
        <v>194</v>
      </c>
      <c r="E50" s="14" t="s">
        <v>178</v>
      </c>
      <c r="F50" s="8"/>
      <c r="G50" s="28">
        <v>251016</v>
      </c>
      <c r="H50" s="28"/>
      <c r="I50" s="33" t="s">
        <v>89</v>
      </c>
      <c r="J50" s="12" t="s">
        <v>76</v>
      </c>
      <c r="K50" s="8"/>
      <c r="L50" s="12" t="s">
        <v>117</v>
      </c>
      <c r="M50" s="9">
        <v>5</v>
      </c>
      <c r="N50" s="27"/>
      <c r="O50" s="10">
        <v>6600</v>
      </c>
      <c r="P50" s="10">
        <f t="shared" si="0"/>
        <v>33000</v>
      </c>
      <c r="Q50" s="27"/>
    </row>
    <row r="51" spans="1:17">
      <c r="A51" s="16" t="s">
        <v>77</v>
      </c>
      <c r="B51" s="7" t="s">
        <v>75</v>
      </c>
      <c r="C51" s="14"/>
      <c r="D51" s="27" t="s">
        <v>196</v>
      </c>
      <c r="E51" s="27" t="s">
        <v>195</v>
      </c>
      <c r="F51" s="27"/>
      <c r="G51" s="28">
        <v>251014</v>
      </c>
      <c r="H51" s="28"/>
      <c r="I51" s="33" t="s">
        <v>91</v>
      </c>
      <c r="J51" s="12" t="s">
        <v>76</v>
      </c>
      <c r="K51" s="8"/>
      <c r="L51" s="12" t="s">
        <v>197</v>
      </c>
      <c r="M51" s="9">
        <v>5</v>
      </c>
      <c r="N51" s="27"/>
      <c r="O51" s="10">
        <v>14080</v>
      </c>
      <c r="P51" s="10">
        <f t="shared" si="0"/>
        <v>70400</v>
      </c>
      <c r="Q51" s="27"/>
    </row>
    <row r="52" spans="1:17">
      <c r="A52" s="13" t="s">
        <v>77</v>
      </c>
      <c r="B52" s="7" t="s">
        <v>75</v>
      </c>
      <c r="C52" s="14"/>
      <c r="D52" s="14" t="s">
        <v>165</v>
      </c>
      <c r="E52" s="27" t="s">
        <v>198</v>
      </c>
      <c r="F52" s="27"/>
      <c r="G52" s="15">
        <v>251016</v>
      </c>
      <c r="H52" s="15"/>
      <c r="I52" s="33" t="s">
        <v>101</v>
      </c>
      <c r="J52" s="12" t="s">
        <v>76</v>
      </c>
      <c r="K52" s="8"/>
      <c r="L52" s="12" t="s">
        <v>201</v>
      </c>
      <c r="M52" s="9">
        <v>9</v>
      </c>
      <c r="N52" s="27"/>
      <c r="O52" s="10">
        <v>14960</v>
      </c>
      <c r="P52" s="10">
        <f>(M52*O52)</f>
        <v>134640</v>
      </c>
      <c r="Q52" s="27"/>
    </row>
    <row r="53" spans="1:17">
      <c r="A53" s="13" t="s">
        <v>77</v>
      </c>
      <c r="B53" s="7" t="s">
        <v>75</v>
      </c>
      <c r="C53" s="14"/>
      <c r="D53" s="14" t="s">
        <v>200</v>
      </c>
      <c r="E53" s="27" t="s">
        <v>199</v>
      </c>
      <c r="F53" s="8"/>
      <c r="G53" s="29" t="s">
        <v>202</v>
      </c>
      <c r="H53" s="28"/>
      <c r="I53" s="33" t="s">
        <v>101</v>
      </c>
      <c r="J53" s="12" t="s">
        <v>76</v>
      </c>
      <c r="K53" s="8"/>
      <c r="L53" s="12" t="s">
        <v>201</v>
      </c>
      <c r="M53" s="9">
        <v>6</v>
      </c>
      <c r="N53" s="27"/>
      <c r="O53" s="10">
        <v>14960</v>
      </c>
      <c r="P53" s="10">
        <f t="shared" ref="P53:P99" si="1">(M53*O53)</f>
        <v>89760</v>
      </c>
      <c r="Q53" s="27"/>
    </row>
    <row r="54" spans="1:17">
      <c r="A54" s="13" t="s">
        <v>77</v>
      </c>
      <c r="B54" s="7" t="s">
        <v>75</v>
      </c>
      <c r="C54" s="14"/>
      <c r="D54" s="14" t="s">
        <v>204</v>
      </c>
      <c r="E54" s="27" t="s">
        <v>203</v>
      </c>
      <c r="F54" s="8"/>
      <c r="G54" s="28">
        <v>251013</v>
      </c>
      <c r="H54" s="28"/>
      <c r="I54" s="33" t="s">
        <v>101</v>
      </c>
      <c r="J54" s="12" t="s">
        <v>76</v>
      </c>
      <c r="K54" s="8"/>
      <c r="L54" s="12" t="s">
        <v>201</v>
      </c>
      <c r="M54" s="9">
        <v>5</v>
      </c>
      <c r="N54" s="27"/>
      <c r="O54" s="10">
        <v>14960</v>
      </c>
      <c r="P54" s="10">
        <f t="shared" si="1"/>
        <v>74800</v>
      </c>
      <c r="Q54" s="27"/>
    </row>
    <row r="55" spans="1:17">
      <c r="A55" s="13" t="s">
        <v>77</v>
      </c>
      <c r="B55" s="7" t="s">
        <v>75</v>
      </c>
      <c r="C55" s="14"/>
      <c r="D55" s="13" t="s">
        <v>208</v>
      </c>
      <c r="E55" s="27" t="s">
        <v>206</v>
      </c>
      <c r="F55" s="8"/>
      <c r="G55" s="28">
        <v>251022</v>
      </c>
      <c r="H55" s="28"/>
      <c r="I55" s="33" t="s">
        <v>205</v>
      </c>
      <c r="J55" s="12" t="s">
        <v>76</v>
      </c>
      <c r="K55" s="8"/>
      <c r="L55" s="12" t="s">
        <v>207</v>
      </c>
      <c r="M55" s="9">
        <v>10</v>
      </c>
      <c r="N55" s="27"/>
      <c r="O55" s="10">
        <v>990</v>
      </c>
      <c r="P55" s="10">
        <f t="shared" si="1"/>
        <v>9900</v>
      </c>
      <c r="Q55" s="27"/>
    </row>
    <row r="56" spans="1:17">
      <c r="A56" s="13" t="s">
        <v>77</v>
      </c>
      <c r="B56" s="7" t="s">
        <v>75</v>
      </c>
      <c r="C56" s="14"/>
      <c r="D56" s="13" t="s">
        <v>160</v>
      </c>
      <c r="E56" s="27" t="s">
        <v>158</v>
      </c>
      <c r="F56" s="8"/>
      <c r="G56" s="28">
        <v>251016</v>
      </c>
      <c r="H56" s="28"/>
      <c r="I56" s="33" t="s">
        <v>209</v>
      </c>
      <c r="J56" s="12" t="s">
        <v>76</v>
      </c>
      <c r="K56" s="8"/>
      <c r="L56" s="12" t="s">
        <v>207</v>
      </c>
      <c r="M56" s="9">
        <v>6</v>
      </c>
      <c r="N56" s="27"/>
      <c r="O56" s="10">
        <v>33000</v>
      </c>
      <c r="P56" s="10">
        <f t="shared" si="1"/>
        <v>198000</v>
      </c>
      <c r="Q56" s="27"/>
    </row>
    <row r="57" spans="1:17">
      <c r="A57" s="13" t="s">
        <v>77</v>
      </c>
      <c r="B57" s="7" t="s">
        <v>75</v>
      </c>
      <c r="C57" s="14"/>
      <c r="D57" s="13" t="s">
        <v>211</v>
      </c>
      <c r="E57" s="27" t="s">
        <v>210</v>
      </c>
      <c r="F57" s="8"/>
      <c r="G57" s="28">
        <v>251022</v>
      </c>
      <c r="H57" s="28"/>
      <c r="I57" s="33" t="s">
        <v>209</v>
      </c>
      <c r="J57" s="12" t="s">
        <v>76</v>
      </c>
      <c r="K57" s="8"/>
      <c r="L57" s="12" t="s">
        <v>207</v>
      </c>
      <c r="M57" s="9">
        <v>4</v>
      </c>
      <c r="N57" s="27"/>
      <c r="O57" s="10">
        <v>33000</v>
      </c>
      <c r="P57" s="10">
        <f t="shared" si="1"/>
        <v>132000</v>
      </c>
      <c r="Q57" s="27"/>
    </row>
    <row r="58" spans="1:17">
      <c r="A58" s="13" t="s">
        <v>77</v>
      </c>
      <c r="B58" s="7" t="s">
        <v>75</v>
      </c>
      <c r="C58" s="14"/>
      <c r="D58" s="14" t="s">
        <v>132</v>
      </c>
      <c r="E58" s="27" t="s">
        <v>131</v>
      </c>
      <c r="F58" s="8"/>
      <c r="G58" s="28">
        <v>251014</v>
      </c>
      <c r="H58" s="28"/>
      <c r="I58" s="33" t="s">
        <v>209</v>
      </c>
      <c r="J58" s="12" t="s">
        <v>76</v>
      </c>
      <c r="K58" s="8"/>
      <c r="L58" s="12" t="s">
        <v>207</v>
      </c>
      <c r="M58" s="9">
        <v>6</v>
      </c>
      <c r="N58" s="27"/>
      <c r="O58" s="32">
        <v>33000</v>
      </c>
      <c r="P58" s="10">
        <f t="shared" si="1"/>
        <v>198000</v>
      </c>
      <c r="Q58" s="27"/>
    </row>
    <row r="59" spans="1:17">
      <c r="A59" s="13" t="s">
        <v>77</v>
      </c>
      <c r="B59" s="7" t="s">
        <v>75</v>
      </c>
      <c r="C59" s="14"/>
      <c r="D59" s="14" t="s">
        <v>213</v>
      </c>
      <c r="E59" s="14" t="s">
        <v>212</v>
      </c>
      <c r="F59" s="16"/>
      <c r="G59" s="15">
        <v>251022</v>
      </c>
      <c r="H59" s="28"/>
      <c r="I59" s="33" t="s">
        <v>209</v>
      </c>
      <c r="J59" s="12" t="s">
        <v>76</v>
      </c>
      <c r="K59" s="8"/>
      <c r="L59" s="12" t="s">
        <v>207</v>
      </c>
      <c r="M59" s="9">
        <v>4</v>
      </c>
      <c r="N59" s="27"/>
      <c r="O59" s="32">
        <v>33000</v>
      </c>
      <c r="P59" s="10">
        <f t="shared" si="1"/>
        <v>132000</v>
      </c>
      <c r="Q59" s="27"/>
    </row>
    <row r="60" spans="1:17">
      <c r="A60" s="13" t="s">
        <v>77</v>
      </c>
      <c r="B60" s="7" t="s">
        <v>75</v>
      </c>
      <c r="C60" s="14"/>
      <c r="D60" s="14" t="s">
        <v>192</v>
      </c>
      <c r="E60" s="14" t="s">
        <v>193</v>
      </c>
      <c r="F60" s="16"/>
      <c r="G60" s="15">
        <v>251016</v>
      </c>
      <c r="H60" s="28"/>
      <c r="I60" s="33" t="s">
        <v>209</v>
      </c>
      <c r="J60" s="12" t="s">
        <v>76</v>
      </c>
      <c r="K60" s="8"/>
      <c r="L60" s="12" t="s">
        <v>207</v>
      </c>
      <c r="M60" s="9">
        <v>5</v>
      </c>
      <c r="N60" s="27"/>
      <c r="O60" s="32">
        <v>33000</v>
      </c>
      <c r="P60" s="10">
        <f t="shared" si="1"/>
        <v>165000</v>
      </c>
      <c r="Q60" s="27"/>
    </row>
    <row r="61" spans="1:17">
      <c r="A61" s="13" t="s">
        <v>77</v>
      </c>
      <c r="B61" s="7" t="s">
        <v>75</v>
      </c>
      <c r="C61" s="14"/>
      <c r="D61" s="14" t="s">
        <v>215</v>
      </c>
      <c r="E61" s="14" t="s">
        <v>214</v>
      </c>
      <c r="F61" s="16"/>
      <c r="G61" s="15">
        <v>251022</v>
      </c>
      <c r="H61" s="28"/>
      <c r="I61" s="33" t="s">
        <v>209</v>
      </c>
      <c r="J61" s="12" t="s">
        <v>76</v>
      </c>
      <c r="K61" s="8"/>
      <c r="L61" s="12" t="s">
        <v>207</v>
      </c>
      <c r="M61" s="9">
        <v>5</v>
      </c>
      <c r="N61" s="27"/>
      <c r="O61" s="32">
        <v>33000</v>
      </c>
      <c r="P61" s="10">
        <f t="shared" si="1"/>
        <v>165000</v>
      </c>
      <c r="Q61" s="27"/>
    </row>
    <row r="62" spans="1:17">
      <c r="A62" s="13" t="s">
        <v>77</v>
      </c>
      <c r="B62" s="7" t="s">
        <v>75</v>
      </c>
      <c r="C62" s="14"/>
      <c r="D62" s="14" t="s">
        <v>218</v>
      </c>
      <c r="E62" s="40" t="s">
        <v>217</v>
      </c>
      <c r="F62" s="8"/>
      <c r="G62" s="28">
        <v>250918</v>
      </c>
      <c r="H62" s="28"/>
      <c r="I62" s="35" t="s">
        <v>91</v>
      </c>
      <c r="J62" s="12" t="s">
        <v>76</v>
      </c>
      <c r="K62" s="8"/>
      <c r="L62" s="12" t="s">
        <v>216</v>
      </c>
      <c r="M62" s="9">
        <v>3</v>
      </c>
      <c r="N62" s="27"/>
      <c r="O62" s="32">
        <v>8800</v>
      </c>
      <c r="P62" s="10">
        <f t="shared" si="1"/>
        <v>26400</v>
      </c>
      <c r="Q62" s="27"/>
    </row>
    <row r="63" spans="1:17">
      <c r="A63" s="13" t="s">
        <v>77</v>
      </c>
      <c r="B63" s="7" t="s">
        <v>75</v>
      </c>
      <c r="C63" s="14"/>
      <c r="D63" s="14" t="s">
        <v>104</v>
      </c>
      <c r="E63" s="27" t="s">
        <v>105</v>
      </c>
      <c r="F63" s="8"/>
      <c r="G63" s="28">
        <v>251023</v>
      </c>
      <c r="H63" s="28"/>
      <c r="I63" s="35" t="s">
        <v>91</v>
      </c>
      <c r="J63" s="12" t="s">
        <v>76</v>
      </c>
      <c r="K63" s="8"/>
      <c r="L63" s="12" t="s">
        <v>216</v>
      </c>
      <c r="M63" s="9">
        <v>2</v>
      </c>
      <c r="N63" s="27"/>
      <c r="O63" s="32">
        <v>8800</v>
      </c>
      <c r="P63" s="10">
        <f t="shared" si="1"/>
        <v>17600</v>
      </c>
      <c r="Q63" s="28"/>
    </row>
    <row r="64" spans="1:17">
      <c r="A64" s="13" t="s">
        <v>77</v>
      </c>
      <c r="B64" s="7" t="s">
        <v>75</v>
      </c>
      <c r="C64" s="14"/>
      <c r="D64" s="14" t="s">
        <v>120</v>
      </c>
      <c r="E64" s="27" t="s">
        <v>185</v>
      </c>
      <c r="F64" s="8"/>
      <c r="G64" s="28">
        <v>251002</v>
      </c>
      <c r="H64" s="28"/>
      <c r="I64" s="35" t="s">
        <v>91</v>
      </c>
      <c r="J64" s="12" t="s">
        <v>76</v>
      </c>
      <c r="K64" s="8"/>
      <c r="L64" s="12" t="s">
        <v>216</v>
      </c>
      <c r="M64" s="9">
        <v>5</v>
      </c>
      <c r="N64" s="27"/>
      <c r="O64" s="32">
        <v>8800</v>
      </c>
      <c r="P64" s="10">
        <f t="shared" si="1"/>
        <v>44000</v>
      </c>
      <c r="Q64" s="27"/>
    </row>
    <row r="65" spans="1:17">
      <c r="A65" s="13" t="s">
        <v>77</v>
      </c>
      <c r="B65" s="7" t="s">
        <v>75</v>
      </c>
      <c r="C65" s="14"/>
      <c r="D65" s="14" t="s">
        <v>220</v>
      </c>
      <c r="E65" s="27" t="s">
        <v>219</v>
      </c>
      <c r="F65" s="8"/>
      <c r="G65" s="28">
        <v>251002</v>
      </c>
      <c r="H65" s="28"/>
      <c r="I65" s="35" t="s">
        <v>91</v>
      </c>
      <c r="J65" s="12" t="s">
        <v>76</v>
      </c>
      <c r="K65" s="8"/>
      <c r="L65" s="12" t="s">
        <v>216</v>
      </c>
      <c r="M65" s="9">
        <v>4</v>
      </c>
      <c r="N65" s="27"/>
      <c r="O65" s="32">
        <v>8800</v>
      </c>
      <c r="P65" s="10">
        <f t="shared" si="1"/>
        <v>35200</v>
      </c>
      <c r="Q65" s="27"/>
    </row>
    <row r="66" spans="1:17">
      <c r="A66" s="13" t="s">
        <v>77</v>
      </c>
      <c r="B66" s="7" t="s">
        <v>75</v>
      </c>
      <c r="C66" s="14"/>
      <c r="D66" s="14" t="s">
        <v>108</v>
      </c>
      <c r="E66" s="27" t="s">
        <v>109</v>
      </c>
      <c r="F66" s="8"/>
      <c r="G66" s="28">
        <v>250904</v>
      </c>
      <c r="H66" s="28"/>
      <c r="I66" s="35" t="s">
        <v>91</v>
      </c>
      <c r="J66" s="12" t="s">
        <v>76</v>
      </c>
      <c r="K66" s="8"/>
      <c r="L66" s="12" t="s">
        <v>216</v>
      </c>
      <c r="M66" s="9">
        <v>1</v>
      </c>
      <c r="N66" s="27"/>
      <c r="O66" s="32">
        <v>8800</v>
      </c>
      <c r="P66" s="10">
        <f t="shared" si="1"/>
        <v>8800</v>
      </c>
      <c r="Q66" s="27"/>
    </row>
    <row r="67" spans="1:17">
      <c r="A67" s="13" t="s">
        <v>77</v>
      </c>
      <c r="B67" s="7" t="s">
        <v>75</v>
      </c>
      <c r="C67" s="14"/>
      <c r="D67" s="14" t="s">
        <v>222</v>
      </c>
      <c r="E67" s="27" t="s">
        <v>221</v>
      </c>
      <c r="F67" s="8"/>
      <c r="G67" s="28">
        <v>251023</v>
      </c>
      <c r="H67" s="28"/>
      <c r="I67" s="35" t="s">
        <v>91</v>
      </c>
      <c r="J67" s="12" t="s">
        <v>76</v>
      </c>
      <c r="K67" s="8"/>
      <c r="L67" s="12" t="s">
        <v>216</v>
      </c>
      <c r="M67" s="9">
        <v>7</v>
      </c>
      <c r="N67" s="27"/>
      <c r="O67" s="32">
        <v>8800</v>
      </c>
      <c r="P67" s="10">
        <f t="shared" si="1"/>
        <v>61600</v>
      </c>
      <c r="Q67" s="27"/>
    </row>
    <row r="68" spans="1:17">
      <c r="A68" s="13" t="s">
        <v>77</v>
      </c>
      <c r="B68" s="7" t="s">
        <v>75</v>
      </c>
      <c r="C68" s="14"/>
      <c r="D68" s="14" t="s">
        <v>110</v>
      </c>
      <c r="E68" s="27" t="s">
        <v>111</v>
      </c>
      <c r="F68" s="8"/>
      <c r="G68" s="28">
        <v>250918</v>
      </c>
      <c r="H68" s="28"/>
      <c r="I68" s="35" t="s">
        <v>91</v>
      </c>
      <c r="J68" s="12" t="s">
        <v>76</v>
      </c>
      <c r="K68" s="8"/>
      <c r="L68" s="12" t="s">
        <v>216</v>
      </c>
      <c r="M68" s="9">
        <v>5</v>
      </c>
      <c r="N68" s="27"/>
      <c r="O68" s="32">
        <v>8800</v>
      </c>
      <c r="P68" s="10">
        <f t="shared" si="1"/>
        <v>44000</v>
      </c>
      <c r="Q68" s="27"/>
    </row>
    <row r="69" spans="1:17">
      <c r="A69" s="13" t="s">
        <v>77</v>
      </c>
      <c r="B69" s="7" t="s">
        <v>75</v>
      </c>
      <c r="C69" s="14"/>
      <c r="D69" s="14" t="s">
        <v>224</v>
      </c>
      <c r="E69" s="27" t="s">
        <v>223</v>
      </c>
      <c r="F69" s="8"/>
      <c r="G69" s="28">
        <v>251023</v>
      </c>
      <c r="H69" s="28"/>
      <c r="I69" s="35" t="s">
        <v>91</v>
      </c>
      <c r="J69" s="12" t="s">
        <v>76</v>
      </c>
      <c r="K69" s="8"/>
      <c r="L69" s="12" t="s">
        <v>216</v>
      </c>
      <c r="M69" s="9">
        <v>5</v>
      </c>
      <c r="N69" s="27"/>
      <c r="O69" s="32">
        <v>8800</v>
      </c>
      <c r="P69" s="10">
        <f t="shared" si="1"/>
        <v>44000</v>
      </c>
      <c r="Q69" s="27"/>
    </row>
    <row r="70" spans="1:17">
      <c r="A70" s="13" t="s">
        <v>77</v>
      </c>
      <c r="B70" s="7" t="s">
        <v>75</v>
      </c>
      <c r="C70" s="14"/>
      <c r="D70" s="14" t="s">
        <v>126</v>
      </c>
      <c r="E70" s="27" t="s">
        <v>127</v>
      </c>
      <c r="F70" s="8"/>
      <c r="G70" s="28">
        <v>250917</v>
      </c>
      <c r="H70" s="28"/>
      <c r="I70" s="35" t="s">
        <v>91</v>
      </c>
      <c r="J70" s="12" t="s">
        <v>76</v>
      </c>
      <c r="K70" s="8"/>
      <c r="L70" s="12" t="s">
        <v>216</v>
      </c>
      <c r="M70" s="9">
        <v>5</v>
      </c>
      <c r="N70" s="27"/>
      <c r="O70" s="32">
        <v>8800</v>
      </c>
      <c r="P70" s="10">
        <f t="shared" si="1"/>
        <v>44000</v>
      </c>
      <c r="Q70" s="27"/>
    </row>
    <row r="71" spans="1:17">
      <c r="A71" s="13" t="s">
        <v>77</v>
      </c>
      <c r="B71" s="7" t="s">
        <v>75</v>
      </c>
      <c r="C71" s="14"/>
      <c r="D71" s="14" t="s">
        <v>226</v>
      </c>
      <c r="E71" s="27" t="s">
        <v>225</v>
      </c>
      <c r="F71" s="8"/>
      <c r="G71" s="28">
        <v>250822</v>
      </c>
      <c r="H71" s="28"/>
      <c r="I71" s="35" t="s">
        <v>91</v>
      </c>
      <c r="J71" s="12" t="s">
        <v>76</v>
      </c>
      <c r="K71" s="8"/>
      <c r="L71" s="12" t="s">
        <v>216</v>
      </c>
      <c r="M71" s="9">
        <v>5</v>
      </c>
      <c r="N71" s="27"/>
      <c r="O71" s="32">
        <v>8800</v>
      </c>
      <c r="P71" s="10">
        <f t="shared" si="1"/>
        <v>44000</v>
      </c>
      <c r="Q71" s="27"/>
    </row>
    <row r="72" spans="1:17">
      <c r="A72" s="13" t="s">
        <v>77</v>
      </c>
      <c r="B72" s="7" t="s">
        <v>75</v>
      </c>
      <c r="C72" s="14"/>
      <c r="D72" s="14" t="s">
        <v>230</v>
      </c>
      <c r="E72" s="27" t="s">
        <v>227</v>
      </c>
      <c r="F72" s="8"/>
      <c r="G72" s="28">
        <v>251024</v>
      </c>
      <c r="H72" s="28"/>
      <c r="I72" s="33" t="s">
        <v>228</v>
      </c>
      <c r="J72" s="12" t="s">
        <v>76</v>
      </c>
      <c r="K72" s="8"/>
      <c r="L72" s="12" t="s">
        <v>229</v>
      </c>
      <c r="M72" s="9">
        <v>20</v>
      </c>
      <c r="N72" s="27"/>
      <c r="O72" s="32">
        <v>15840</v>
      </c>
      <c r="P72" s="10">
        <f t="shared" si="1"/>
        <v>316800</v>
      </c>
      <c r="Q72" s="27"/>
    </row>
    <row r="73" spans="1:17">
      <c r="A73" s="13" t="s">
        <v>77</v>
      </c>
      <c r="B73" s="7" t="s">
        <v>75</v>
      </c>
      <c r="C73" s="14"/>
      <c r="D73" s="14" t="s">
        <v>232</v>
      </c>
      <c r="E73" s="27" t="s">
        <v>231</v>
      </c>
      <c r="F73" s="8"/>
      <c r="G73" s="28">
        <v>251024</v>
      </c>
      <c r="H73" s="28"/>
      <c r="I73" s="33" t="s">
        <v>228</v>
      </c>
      <c r="J73" s="12" t="s">
        <v>76</v>
      </c>
      <c r="K73" s="8"/>
      <c r="L73" s="12" t="s">
        <v>229</v>
      </c>
      <c r="M73" s="9">
        <v>20</v>
      </c>
      <c r="N73" s="27"/>
      <c r="O73" s="32">
        <v>15840</v>
      </c>
      <c r="P73" s="10">
        <f t="shared" si="1"/>
        <v>316800</v>
      </c>
      <c r="Q73" s="27"/>
    </row>
    <row r="74" spans="1:17">
      <c r="A74" s="13" t="s">
        <v>77</v>
      </c>
      <c r="B74" s="7" t="s">
        <v>75</v>
      </c>
      <c r="C74" s="14"/>
      <c r="D74" s="14" t="s">
        <v>238</v>
      </c>
      <c r="E74" s="27" t="s">
        <v>235</v>
      </c>
      <c r="F74" s="8"/>
      <c r="G74" s="28">
        <v>250904</v>
      </c>
      <c r="H74" s="28"/>
      <c r="I74" s="33" t="s">
        <v>233</v>
      </c>
      <c r="J74" s="12" t="s">
        <v>76</v>
      </c>
      <c r="K74" s="8"/>
      <c r="L74" s="12" t="s">
        <v>237</v>
      </c>
      <c r="M74" s="9">
        <v>5</v>
      </c>
      <c r="N74" s="27"/>
      <c r="O74" s="32">
        <v>16500</v>
      </c>
      <c r="P74" s="10">
        <f t="shared" si="1"/>
        <v>82500</v>
      </c>
      <c r="Q74" s="27"/>
    </row>
    <row r="75" spans="1:17">
      <c r="A75" s="13" t="s">
        <v>77</v>
      </c>
      <c r="B75" s="7" t="s">
        <v>75</v>
      </c>
      <c r="C75" s="14"/>
      <c r="D75" s="14" t="s">
        <v>239</v>
      </c>
      <c r="E75" s="27" t="s">
        <v>236</v>
      </c>
      <c r="F75" s="8"/>
      <c r="G75" s="28">
        <v>251024</v>
      </c>
      <c r="H75" s="28"/>
      <c r="I75" s="33" t="s">
        <v>233</v>
      </c>
      <c r="J75" s="12" t="s">
        <v>76</v>
      </c>
      <c r="K75" s="8"/>
      <c r="L75" s="12" t="s">
        <v>237</v>
      </c>
      <c r="M75" s="9">
        <v>5</v>
      </c>
      <c r="N75" s="27"/>
      <c r="O75" s="32">
        <v>16500</v>
      </c>
      <c r="P75" s="10">
        <f t="shared" si="1"/>
        <v>82500</v>
      </c>
      <c r="Q75" s="27"/>
    </row>
    <row r="76" spans="1:17">
      <c r="A76" s="13" t="s">
        <v>77</v>
      </c>
      <c r="B76" s="7" t="s">
        <v>75</v>
      </c>
      <c r="C76" s="27"/>
      <c r="D76" s="27" t="s">
        <v>241</v>
      </c>
      <c r="E76" s="27" t="s">
        <v>217</v>
      </c>
      <c r="F76" s="27"/>
      <c r="G76" s="28">
        <v>251023</v>
      </c>
      <c r="H76" s="27"/>
      <c r="I76" s="33" t="s">
        <v>233</v>
      </c>
      <c r="J76" s="12" t="s">
        <v>76</v>
      </c>
      <c r="K76" s="8"/>
      <c r="L76" s="12" t="s">
        <v>237</v>
      </c>
      <c r="M76" s="9">
        <v>7</v>
      </c>
      <c r="N76" s="27"/>
      <c r="O76" s="32">
        <v>16500</v>
      </c>
      <c r="P76" s="10">
        <f t="shared" si="1"/>
        <v>115500</v>
      </c>
      <c r="Q76" s="27"/>
    </row>
    <row r="77" spans="1:17">
      <c r="A77" s="13" t="s">
        <v>77</v>
      </c>
      <c r="B77" s="7" t="s">
        <v>75</v>
      </c>
      <c r="C77" s="27"/>
      <c r="D77" s="27" t="s">
        <v>242</v>
      </c>
      <c r="E77" s="27" t="s">
        <v>240</v>
      </c>
      <c r="F77" s="28"/>
      <c r="G77" s="28">
        <v>251024</v>
      </c>
      <c r="H77" s="27"/>
      <c r="I77" s="33" t="s">
        <v>233</v>
      </c>
      <c r="J77" s="12" t="s">
        <v>76</v>
      </c>
      <c r="K77" s="8"/>
      <c r="L77" s="12" t="s">
        <v>237</v>
      </c>
      <c r="M77" s="9">
        <v>3</v>
      </c>
      <c r="N77" s="27"/>
      <c r="O77" s="32">
        <v>16500</v>
      </c>
      <c r="P77" s="10">
        <f t="shared" si="1"/>
        <v>49500</v>
      </c>
      <c r="Q77" s="27"/>
    </row>
    <row r="78" spans="1:17">
      <c r="A78" s="13" t="s">
        <v>79</v>
      </c>
      <c r="B78" s="7" t="s">
        <v>75</v>
      </c>
      <c r="C78" s="27"/>
      <c r="D78" s="27" t="s">
        <v>244</v>
      </c>
      <c r="E78" s="27" t="s">
        <v>243</v>
      </c>
      <c r="F78" s="28"/>
      <c r="G78" s="28">
        <v>251024</v>
      </c>
      <c r="H78" s="27"/>
      <c r="I78" s="33" t="s">
        <v>233</v>
      </c>
      <c r="J78" s="12" t="s">
        <v>76</v>
      </c>
      <c r="K78" s="8"/>
      <c r="L78" s="12" t="s">
        <v>237</v>
      </c>
      <c r="M78" s="9">
        <v>6</v>
      </c>
      <c r="N78" s="27"/>
      <c r="O78" s="32">
        <v>16500</v>
      </c>
      <c r="P78" s="10">
        <f t="shared" si="1"/>
        <v>99000</v>
      </c>
      <c r="Q78" s="27"/>
    </row>
    <row r="79" spans="1:17">
      <c r="A79" s="13" t="s">
        <v>77</v>
      </c>
      <c r="B79" s="7" t="s">
        <v>75</v>
      </c>
      <c r="C79" s="27"/>
      <c r="D79" s="27" t="s">
        <v>126</v>
      </c>
      <c r="E79" s="27" t="s">
        <v>127</v>
      </c>
      <c r="F79" s="28"/>
      <c r="G79" s="28">
        <v>250917</v>
      </c>
      <c r="H79" s="27"/>
      <c r="I79" s="33" t="s">
        <v>233</v>
      </c>
      <c r="J79" s="12" t="s">
        <v>76</v>
      </c>
      <c r="K79" s="8"/>
      <c r="L79" s="12" t="s">
        <v>237</v>
      </c>
      <c r="M79" s="9">
        <v>4</v>
      </c>
      <c r="N79" s="27"/>
      <c r="O79" s="32">
        <v>16500</v>
      </c>
      <c r="P79" s="10">
        <f t="shared" si="1"/>
        <v>66000</v>
      </c>
      <c r="Q79" s="27"/>
    </row>
    <row r="80" spans="1:17">
      <c r="A80" s="13" t="s">
        <v>77</v>
      </c>
      <c r="B80" s="7" t="s">
        <v>75</v>
      </c>
      <c r="C80" s="27"/>
      <c r="D80" s="27" t="s">
        <v>246</v>
      </c>
      <c r="E80" s="27" t="s">
        <v>247</v>
      </c>
      <c r="F80" s="28"/>
      <c r="G80" s="28">
        <v>251028</v>
      </c>
      <c r="H80" s="27"/>
      <c r="I80" s="33" t="s">
        <v>91</v>
      </c>
      <c r="J80" s="12" t="s">
        <v>76</v>
      </c>
      <c r="K80" s="8"/>
      <c r="L80" s="12" t="s">
        <v>245</v>
      </c>
      <c r="M80" s="9">
        <v>8</v>
      </c>
      <c r="N80" s="27"/>
      <c r="O80" s="32">
        <v>8800</v>
      </c>
      <c r="P80" s="10">
        <f t="shared" si="1"/>
        <v>70400</v>
      </c>
      <c r="Q80" s="27"/>
    </row>
    <row r="81" spans="1:17">
      <c r="A81" s="13" t="s">
        <v>77</v>
      </c>
      <c r="B81" s="7" t="s">
        <v>75</v>
      </c>
      <c r="C81" s="27"/>
      <c r="D81" s="27" t="s">
        <v>249</v>
      </c>
      <c r="E81" s="27" t="s">
        <v>248</v>
      </c>
      <c r="F81" s="28"/>
      <c r="G81" s="28">
        <v>250822</v>
      </c>
      <c r="H81" s="27"/>
      <c r="I81" s="33" t="s">
        <v>91</v>
      </c>
      <c r="J81" s="12" t="s">
        <v>76</v>
      </c>
      <c r="K81" s="8"/>
      <c r="L81" s="12" t="s">
        <v>245</v>
      </c>
      <c r="M81" s="9">
        <v>5</v>
      </c>
      <c r="N81" s="27"/>
      <c r="O81" s="32">
        <v>14080</v>
      </c>
      <c r="P81" s="10">
        <f t="shared" si="1"/>
        <v>70400</v>
      </c>
      <c r="Q81" s="27"/>
    </row>
    <row r="82" spans="1:17">
      <c r="A82" s="13" t="s">
        <v>79</v>
      </c>
      <c r="B82" s="7" t="s">
        <v>75</v>
      </c>
      <c r="C82" s="27"/>
      <c r="D82" s="27" t="s">
        <v>182</v>
      </c>
      <c r="E82" s="27" t="s">
        <v>181</v>
      </c>
      <c r="F82" s="28"/>
      <c r="G82" s="28">
        <v>251017</v>
      </c>
      <c r="H82" s="27"/>
      <c r="I82" s="33" t="s">
        <v>91</v>
      </c>
      <c r="J82" s="12" t="s">
        <v>76</v>
      </c>
      <c r="K82" s="8"/>
      <c r="L82" s="12" t="s">
        <v>245</v>
      </c>
      <c r="M82" s="9">
        <v>5</v>
      </c>
      <c r="N82" s="27"/>
      <c r="O82" s="32">
        <v>14080</v>
      </c>
      <c r="P82" s="10">
        <f t="shared" si="1"/>
        <v>70400</v>
      </c>
      <c r="Q82" s="27"/>
    </row>
    <row r="83" spans="1:17">
      <c r="A83" s="13" t="s">
        <v>77</v>
      </c>
      <c r="B83" s="7" t="s">
        <v>75</v>
      </c>
      <c r="C83" s="27"/>
      <c r="D83" s="27" t="s">
        <v>252</v>
      </c>
      <c r="E83" s="27" t="s">
        <v>250</v>
      </c>
      <c r="F83" s="28"/>
      <c r="G83" s="28">
        <v>251021</v>
      </c>
      <c r="H83" s="27"/>
      <c r="I83" s="33" t="s">
        <v>91</v>
      </c>
      <c r="J83" s="12" t="s">
        <v>76</v>
      </c>
      <c r="K83" s="8"/>
      <c r="L83" s="12" t="s">
        <v>245</v>
      </c>
      <c r="M83" s="9">
        <v>4</v>
      </c>
      <c r="N83" s="27"/>
      <c r="O83" s="32">
        <v>14080</v>
      </c>
      <c r="P83" s="10">
        <f t="shared" si="1"/>
        <v>56320</v>
      </c>
      <c r="Q83" s="27"/>
    </row>
    <row r="84" spans="1:17">
      <c r="A84" s="13" t="s">
        <v>77</v>
      </c>
      <c r="B84" s="38" t="s">
        <v>75</v>
      </c>
      <c r="C84" s="27"/>
      <c r="D84" s="27" t="s">
        <v>253</v>
      </c>
      <c r="E84" s="27" t="s">
        <v>251</v>
      </c>
      <c r="F84" s="28"/>
      <c r="G84" s="28">
        <v>251023</v>
      </c>
      <c r="H84" s="27"/>
      <c r="I84" s="33" t="s">
        <v>91</v>
      </c>
      <c r="J84" s="12" t="s">
        <v>76</v>
      </c>
      <c r="K84" s="8"/>
      <c r="L84" s="12" t="s">
        <v>245</v>
      </c>
      <c r="M84" s="9">
        <v>1</v>
      </c>
      <c r="N84" s="27"/>
      <c r="O84" s="32">
        <v>14080</v>
      </c>
      <c r="P84" s="10">
        <f t="shared" si="1"/>
        <v>14080</v>
      </c>
      <c r="Q84" s="27"/>
    </row>
    <row r="85" spans="1:17">
      <c r="A85" s="13" t="s">
        <v>77</v>
      </c>
      <c r="B85" s="38" t="s">
        <v>75</v>
      </c>
      <c r="C85" s="27"/>
      <c r="D85" s="27" t="s">
        <v>254</v>
      </c>
      <c r="E85" s="27" t="s">
        <v>203</v>
      </c>
      <c r="F85" s="28"/>
      <c r="G85" s="28">
        <v>251013</v>
      </c>
      <c r="H85" s="27"/>
      <c r="I85" s="33" t="s">
        <v>91</v>
      </c>
      <c r="J85" s="12" t="s">
        <v>76</v>
      </c>
      <c r="K85" s="8"/>
      <c r="L85" s="12" t="s">
        <v>245</v>
      </c>
      <c r="M85" s="9">
        <v>5</v>
      </c>
      <c r="N85" s="27"/>
      <c r="O85" s="32">
        <v>14080</v>
      </c>
      <c r="P85" s="10">
        <f t="shared" si="1"/>
        <v>70400</v>
      </c>
      <c r="Q85" s="27"/>
    </row>
    <row r="86" spans="1:17">
      <c r="A86" s="13" t="s">
        <v>77</v>
      </c>
      <c r="B86" s="38" t="s">
        <v>75</v>
      </c>
      <c r="C86" s="27"/>
      <c r="D86" s="27" t="s">
        <v>256</v>
      </c>
      <c r="E86" s="27" t="s">
        <v>255</v>
      </c>
      <c r="F86" s="28"/>
      <c r="G86" s="28">
        <v>251013</v>
      </c>
      <c r="H86" s="27"/>
      <c r="I86" s="33" t="s">
        <v>91</v>
      </c>
      <c r="J86" s="12" t="s">
        <v>76</v>
      </c>
      <c r="K86" s="8"/>
      <c r="L86" s="12" t="s">
        <v>245</v>
      </c>
      <c r="M86" s="32">
        <v>5</v>
      </c>
      <c r="N86" s="27"/>
      <c r="O86" s="32">
        <v>14080</v>
      </c>
      <c r="P86" s="10">
        <f t="shared" si="1"/>
        <v>70400</v>
      </c>
      <c r="Q86" s="27"/>
    </row>
    <row r="87" spans="1:17">
      <c r="A87" s="13" t="s">
        <v>80</v>
      </c>
      <c r="B87" s="38" t="s">
        <v>75</v>
      </c>
      <c r="C87" s="27"/>
      <c r="D87" s="27" t="s">
        <v>258</v>
      </c>
      <c r="E87" s="27" t="s">
        <v>257</v>
      </c>
      <c r="F87" s="28"/>
      <c r="G87" s="28">
        <v>251023</v>
      </c>
      <c r="H87" s="27"/>
      <c r="I87" s="33" t="s">
        <v>91</v>
      </c>
      <c r="J87" s="12" t="s">
        <v>76</v>
      </c>
      <c r="K87" s="8"/>
      <c r="L87" s="12" t="s">
        <v>245</v>
      </c>
      <c r="M87" s="32">
        <v>8</v>
      </c>
      <c r="N87" s="27"/>
      <c r="O87" s="37">
        <v>14080</v>
      </c>
      <c r="P87" s="10">
        <f t="shared" si="1"/>
        <v>112640</v>
      </c>
      <c r="Q87" s="27"/>
    </row>
    <row r="88" spans="1:17">
      <c r="A88" s="13" t="s">
        <v>77</v>
      </c>
      <c r="B88" s="38" t="s">
        <v>75</v>
      </c>
      <c r="C88" s="27"/>
      <c r="D88" s="27" t="s">
        <v>114</v>
      </c>
      <c r="E88" s="27" t="s">
        <v>115</v>
      </c>
      <c r="F88" s="28"/>
      <c r="G88" s="28">
        <v>250822</v>
      </c>
      <c r="H88" s="27"/>
      <c r="I88" s="33" t="s">
        <v>91</v>
      </c>
      <c r="J88" s="12" t="s">
        <v>76</v>
      </c>
      <c r="K88" s="8"/>
      <c r="L88" s="12" t="s">
        <v>245</v>
      </c>
      <c r="M88" s="32">
        <v>2</v>
      </c>
      <c r="N88" s="27"/>
      <c r="O88" s="37">
        <v>14080</v>
      </c>
      <c r="P88" s="10">
        <f t="shared" si="1"/>
        <v>28160</v>
      </c>
      <c r="Q88" s="27"/>
    </row>
    <row r="89" spans="1:17">
      <c r="A89" s="13" t="s">
        <v>77</v>
      </c>
      <c r="B89" s="38" t="s">
        <v>75</v>
      </c>
      <c r="C89" s="27"/>
      <c r="D89" s="27" t="s">
        <v>261</v>
      </c>
      <c r="E89" s="27" t="s">
        <v>259</v>
      </c>
      <c r="F89" s="28"/>
      <c r="G89" s="28">
        <v>250908</v>
      </c>
      <c r="H89" s="27"/>
      <c r="I89" s="33" t="s">
        <v>91</v>
      </c>
      <c r="J89" s="12" t="s">
        <v>76</v>
      </c>
      <c r="K89" s="8"/>
      <c r="L89" s="12" t="s">
        <v>245</v>
      </c>
      <c r="M89" s="37">
        <v>5</v>
      </c>
      <c r="N89" s="27"/>
      <c r="O89" s="37">
        <v>14080</v>
      </c>
      <c r="P89" s="10">
        <f t="shared" si="1"/>
        <v>70400</v>
      </c>
      <c r="Q89" s="27"/>
    </row>
    <row r="90" spans="1:17">
      <c r="A90" s="13" t="s">
        <v>77</v>
      </c>
      <c r="B90" s="38" t="s">
        <v>75</v>
      </c>
      <c r="C90" s="27"/>
      <c r="D90" s="27" t="s">
        <v>262</v>
      </c>
      <c r="E90" s="27" t="s">
        <v>260</v>
      </c>
      <c r="F90" s="28"/>
      <c r="G90" s="28">
        <v>251023</v>
      </c>
      <c r="H90" s="27"/>
      <c r="I90" s="33" t="s">
        <v>91</v>
      </c>
      <c r="J90" s="12" t="s">
        <v>76</v>
      </c>
      <c r="K90" s="8"/>
      <c r="L90" s="12" t="s">
        <v>245</v>
      </c>
      <c r="M90" s="37">
        <v>5</v>
      </c>
      <c r="N90" s="27"/>
      <c r="O90" s="37">
        <v>14080</v>
      </c>
      <c r="P90" s="10">
        <f t="shared" si="1"/>
        <v>70400</v>
      </c>
      <c r="Q90" s="27"/>
    </row>
    <row r="91" spans="1:17">
      <c r="A91" s="13" t="s">
        <v>77</v>
      </c>
      <c r="B91" s="38" t="s">
        <v>75</v>
      </c>
      <c r="C91" s="27"/>
      <c r="D91" s="27" t="s">
        <v>266</v>
      </c>
      <c r="E91" s="27" t="s">
        <v>263</v>
      </c>
      <c r="F91" s="27"/>
      <c r="G91" s="28">
        <v>251023</v>
      </c>
      <c r="H91" s="27"/>
      <c r="I91" s="33" t="s">
        <v>91</v>
      </c>
      <c r="J91" s="12" t="s">
        <v>76</v>
      </c>
      <c r="K91" s="8"/>
      <c r="L91" s="12" t="s">
        <v>245</v>
      </c>
      <c r="M91" s="37">
        <v>4</v>
      </c>
      <c r="N91" s="27"/>
      <c r="O91" s="37">
        <v>14080</v>
      </c>
      <c r="P91" s="10">
        <f t="shared" si="1"/>
        <v>56320</v>
      </c>
      <c r="Q91" s="27"/>
    </row>
    <row r="92" spans="1:17">
      <c r="A92" s="13" t="s">
        <v>77</v>
      </c>
      <c r="B92" s="38" t="s">
        <v>75</v>
      </c>
      <c r="C92" s="27"/>
      <c r="D92" s="27" t="s">
        <v>265</v>
      </c>
      <c r="E92" s="27" t="s">
        <v>264</v>
      </c>
      <c r="F92" s="27"/>
      <c r="G92" s="28">
        <v>230711</v>
      </c>
      <c r="H92" s="27"/>
      <c r="I92" s="33" t="s">
        <v>91</v>
      </c>
      <c r="J92" s="12" t="s">
        <v>76</v>
      </c>
      <c r="K92" s="8"/>
      <c r="L92" s="12" t="s">
        <v>245</v>
      </c>
      <c r="M92" s="37">
        <v>1</v>
      </c>
      <c r="N92" s="27"/>
      <c r="O92" s="37">
        <v>14080</v>
      </c>
      <c r="P92" s="10">
        <f t="shared" si="1"/>
        <v>14080</v>
      </c>
      <c r="Q92" s="27"/>
    </row>
    <row r="93" spans="1:17">
      <c r="A93" s="13" t="s">
        <v>77</v>
      </c>
      <c r="B93" s="38" t="s">
        <v>75</v>
      </c>
      <c r="C93" s="27"/>
      <c r="D93" s="27" t="s">
        <v>134</v>
      </c>
      <c r="E93" s="27" t="s">
        <v>267</v>
      </c>
      <c r="F93" s="27"/>
      <c r="G93" s="28">
        <v>251014</v>
      </c>
      <c r="H93" s="27"/>
      <c r="I93" s="33" t="s">
        <v>91</v>
      </c>
      <c r="J93" s="12" t="s">
        <v>76</v>
      </c>
      <c r="K93" s="8"/>
      <c r="L93" s="12" t="s">
        <v>245</v>
      </c>
      <c r="M93" s="37">
        <v>5</v>
      </c>
      <c r="N93" s="27"/>
      <c r="O93" s="37">
        <v>14080</v>
      </c>
      <c r="P93" s="10">
        <f t="shared" si="1"/>
        <v>70400</v>
      </c>
      <c r="Q93" s="27"/>
    </row>
    <row r="94" spans="1:17">
      <c r="A94" s="13" t="s">
        <v>77</v>
      </c>
      <c r="B94" s="38" t="s">
        <v>75</v>
      </c>
      <c r="C94" s="27"/>
      <c r="D94" s="27" t="s">
        <v>121</v>
      </c>
      <c r="E94" s="27" t="s">
        <v>122</v>
      </c>
      <c r="F94" s="27"/>
      <c r="G94" s="28">
        <v>251014</v>
      </c>
      <c r="H94" s="27"/>
      <c r="I94" s="35" t="s">
        <v>153</v>
      </c>
      <c r="J94" s="12" t="s">
        <v>76</v>
      </c>
      <c r="K94" s="8"/>
      <c r="L94" s="12" t="s">
        <v>245</v>
      </c>
      <c r="M94" s="37">
        <v>10</v>
      </c>
      <c r="N94" s="27"/>
      <c r="O94" s="37">
        <v>3300</v>
      </c>
      <c r="P94" s="10">
        <f t="shared" si="1"/>
        <v>33000</v>
      </c>
      <c r="Q94" s="27"/>
    </row>
    <row r="95" spans="1:17">
      <c r="A95" s="13" t="s">
        <v>77</v>
      </c>
      <c r="B95" s="38" t="s">
        <v>75</v>
      </c>
      <c r="C95" s="27"/>
      <c r="D95" s="27" t="s">
        <v>224</v>
      </c>
      <c r="E95" s="27" t="s">
        <v>223</v>
      </c>
      <c r="F95" s="27"/>
      <c r="G95" s="28">
        <v>251023</v>
      </c>
      <c r="H95" s="27"/>
      <c r="I95" s="35" t="s">
        <v>153</v>
      </c>
      <c r="J95" s="12" t="s">
        <v>76</v>
      </c>
      <c r="K95" s="8"/>
      <c r="L95" s="12" t="s">
        <v>245</v>
      </c>
      <c r="M95" s="37">
        <v>5</v>
      </c>
      <c r="N95" s="27"/>
      <c r="O95" s="37">
        <v>3300</v>
      </c>
      <c r="P95" s="10">
        <f t="shared" si="1"/>
        <v>16500</v>
      </c>
      <c r="Q95" s="27"/>
    </row>
    <row r="96" spans="1:17">
      <c r="A96" s="13" t="s">
        <v>77</v>
      </c>
      <c r="B96" s="38" t="s">
        <v>75</v>
      </c>
      <c r="C96" s="27"/>
      <c r="D96" s="27" t="s">
        <v>269</v>
      </c>
      <c r="E96" s="27" t="s">
        <v>268</v>
      </c>
      <c r="F96" s="27"/>
      <c r="G96" s="28">
        <v>251029</v>
      </c>
      <c r="H96" s="27"/>
      <c r="I96" s="35" t="s">
        <v>153</v>
      </c>
      <c r="J96" s="12" t="s">
        <v>76</v>
      </c>
      <c r="K96" s="8"/>
      <c r="L96" s="12" t="s">
        <v>245</v>
      </c>
      <c r="M96" s="37">
        <v>5</v>
      </c>
      <c r="N96" s="27"/>
      <c r="O96" s="37">
        <v>3300</v>
      </c>
      <c r="P96" s="10">
        <f t="shared" si="1"/>
        <v>16500</v>
      </c>
      <c r="Q96" s="27"/>
    </row>
    <row r="97" spans="1:17">
      <c r="A97" s="13" t="s">
        <v>77</v>
      </c>
      <c r="B97" s="38" t="s">
        <v>75</v>
      </c>
      <c r="C97" s="27"/>
      <c r="D97" s="27" t="s">
        <v>106</v>
      </c>
      <c r="E97" s="27" t="s">
        <v>107</v>
      </c>
      <c r="F97" s="27"/>
      <c r="G97" s="28">
        <v>250918</v>
      </c>
      <c r="H97" s="27"/>
      <c r="I97" s="35" t="s">
        <v>271</v>
      </c>
      <c r="J97" s="12" t="s">
        <v>76</v>
      </c>
      <c r="K97" s="8"/>
      <c r="L97" s="12" t="s">
        <v>270</v>
      </c>
      <c r="M97" s="37">
        <v>5</v>
      </c>
      <c r="N97" s="27"/>
      <c r="O97" s="37">
        <v>4400</v>
      </c>
      <c r="P97" s="10">
        <f t="shared" si="1"/>
        <v>22000</v>
      </c>
      <c r="Q97" s="27"/>
    </row>
    <row r="98" spans="1:17">
      <c r="A98" s="13" t="s">
        <v>77</v>
      </c>
      <c r="B98" s="38" t="s">
        <v>75</v>
      </c>
      <c r="C98" s="27"/>
      <c r="D98" s="27" t="s">
        <v>120</v>
      </c>
      <c r="E98" s="27" t="s">
        <v>118</v>
      </c>
      <c r="F98" s="27"/>
      <c r="G98" s="28">
        <v>251002</v>
      </c>
      <c r="H98" s="27"/>
      <c r="I98" s="35" t="s">
        <v>271</v>
      </c>
      <c r="J98" s="12" t="s">
        <v>76</v>
      </c>
      <c r="K98" s="8"/>
      <c r="L98" s="12" t="s">
        <v>270</v>
      </c>
      <c r="M98" s="37">
        <v>20</v>
      </c>
      <c r="N98" s="27"/>
      <c r="O98" s="37">
        <v>4400</v>
      </c>
      <c r="P98" s="10">
        <f t="shared" si="1"/>
        <v>88000</v>
      </c>
      <c r="Q98" s="27"/>
    </row>
    <row r="99" spans="1:17">
      <c r="A99" s="13" t="s">
        <v>77</v>
      </c>
      <c r="B99" s="38" t="s">
        <v>75</v>
      </c>
      <c r="C99" s="27"/>
      <c r="D99" s="27" t="s">
        <v>274</v>
      </c>
      <c r="E99" s="27" t="s">
        <v>273</v>
      </c>
      <c r="F99" s="27"/>
      <c r="G99" s="28">
        <v>251030</v>
      </c>
      <c r="H99" s="27"/>
      <c r="I99" s="35" t="s">
        <v>271</v>
      </c>
      <c r="J99" s="12" t="s">
        <v>76</v>
      </c>
      <c r="K99" s="8"/>
      <c r="L99" s="12" t="s">
        <v>272</v>
      </c>
      <c r="M99" s="37">
        <v>15</v>
      </c>
      <c r="N99" s="27"/>
      <c r="O99" s="37">
        <v>4400</v>
      </c>
      <c r="P99" s="10">
        <f t="shared" si="1"/>
        <v>66000</v>
      </c>
      <c r="Q99" s="27"/>
    </row>
    <row r="100" spans="1:17">
      <c r="I100" s="2"/>
    </row>
    <row r="101" spans="1:17">
      <c r="I101" s="2"/>
    </row>
    <row r="102" spans="1:17">
      <c r="I102" s="2"/>
    </row>
    <row r="103" spans="1:17">
      <c r="I103" s="2"/>
    </row>
    <row r="104" spans="1:17">
      <c r="I104" s="2"/>
    </row>
    <row r="105" spans="1:17">
      <c r="I105" s="2"/>
    </row>
    <row r="106" spans="1:17">
      <c r="I106" s="2"/>
    </row>
  </sheetData>
  <sheetProtection insertColumns="0" deleteColumns="0" selectLockedCells="1" sort="0"/>
  <mergeCells count="1">
    <mergeCell ref="Q42:Q43"/>
  </mergeCells>
  <phoneticPr fontId="1" type="noConversion"/>
  <dataValidations count="6">
    <dataValidation type="whole" allowBlank="1" showInputMessage="1" showErrorMessage="1" sqref="M2:N2" xr:uid="{00000000-0002-0000-0000-000000000000}">
      <formula1>0</formula1>
      <formula2>999999999999</formula2>
    </dataValidation>
    <dataValidation type="whole" allowBlank="1" showInputMessage="1" showErrorMessage="1" sqref="O2:O86" xr:uid="{00000000-0002-0000-0000-000001000000}">
      <formula1>0</formula1>
      <formula2>99999999999999</formula2>
    </dataValidation>
    <dataValidation type="textLength" allowBlank="1" showInputMessage="1" showErrorMessage="1" sqref="L2:L99" xr:uid="{00000000-0002-0000-0000-000002000000}">
      <formula1>8</formula1>
      <formula2>8</formula2>
    </dataValidation>
    <dataValidation type="list" allowBlank="1" showInputMessage="1" showErrorMessage="1" sqref="K20 J2:J99" xr:uid="{00000000-0002-0000-0000-000003000000}">
      <formula1>"Y,N"</formula1>
    </dataValidation>
    <dataValidation type="list" allowBlank="1" showInputMessage="1" showErrorMessage="1" sqref="B2:B99" xr:uid="{00000000-0002-0000-0000-000004000000}">
      <formula1>"제조ㆍ수입ㆍ판매(임대)에 공급,의료기관에 공급,약국개설자 또는 의약품도매상에 공급,견본품/기부용 또는 군납용 등으로 공급"</formula1>
    </dataValidation>
    <dataValidation type="list" allowBlank="1" showInputMessage="1" showErrorMessage="1" sqref="A2:A99" xr:uid="{00000000-0002-0000-0000-000005000000}">
      <formula1>"출고,반품,폐기,임대,회수"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55"/>
  <sheetViews>
    <sheetView topLeftCell="A28" zoomScaleNormal="85" workbookViewId="0">
      <selection activeCell="F15" sqref="F15"/>
    </sheetView>
  </sheetViews>
  <sheetFormatPr defaultRowHeight="16.5"/>
  <cols>
    <col min="14" max="14" width="15.125" customWidth="1"/>
  </cols>
  <sheetData>
    <row r="2" spans="2:16" ht="54">
      <c r="B2" s="3" t="s">
        <v>18</v>
      </c>
    </row>
    <row r="5" spans="2:16">
      <c r="B5" s="4" t="s">
        <v>53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2:16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2:16">
      <c r="B7" s="4" t="s">
        <v>67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2:16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2:16">
      <c r="B9" s="4" t="s">
        <v>65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2:16">
      <c r="B10" s="6"/>
      <c r="C10" s="6" t="s">
        <v>66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2:16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2:16">
      <c r="B12" s="4" t="s">
        <v>55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2:16">
      <c r="B13" s="4" t="s">
        <v>32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2:16">
      <c r="B14" s="4" t="s">
        <v>36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2:16">
      <c r="B15" s="4" t="s">
        <v>33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2:16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2:16">
      <c r="B17" s="4" t="s">
        <v>56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2:16">
      <c r="B18" s="6" t="s">
        <v>34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2:16">
      <c r="B19" s="6" t="s">
        <v>37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2:16">
      <c r="B20" s="6" t="s">
        <v>35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2:16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2:16">
      <c r="B22" s="4" t="s">
        <v>57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2:16">
      <c r="B23" s="6" t="s">
        <v>39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2:16">
      <c r="B24" s="6" t="s">
        <v>38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2:16">
      <c r="B25" s="6" t="s">
        <v>40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2:16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2:16">
      <c r="B27" s="4" t="s">
        <v>58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2:16">
      <c r="B28" s="6" t="s">
        <v>42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2:16">
      <c r="B29" s="6" t="s">
        <v>43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2:16">
      <c r="B30" s="6" t="s">
        <v>41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2:16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2:16">
      <c r="B32" s="4" t="s">
        <v>59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2:16">
      <c r="B33" s="6" t="s">
        <v>45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2:16">
      <c r="B34" s="6" t="s">
        <v>44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2:16">
      <c r="B35" s="6" t="s">
        <v>46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2:16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2:16">
      <c r="B37" s="4" t="s">
        <v>60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2:16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2:16">
      <c r="B39" s="4" t="s">
        <v>61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2:16"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2:16">
      <c r="B41" s="4" t="s">
        <v>62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2:16">
      <c r="B42" s="4" t="s">
        <v>50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2:16"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2:16">
      <c r="B44" s="4" t="s">
        <v>63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2:16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2:16">
      <c r="B46" s="4" t="s">
        <v>64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2:16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2:16">
      <c r="B48" s="4" t="s">
        <v>69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2:16"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2:16">
      <c r="B50" s="4" t="s">
        <v>71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2:16"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2:16">
      <c r="B52" s="4" t="s">
        <v>70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2:16">
      <c r="B53" s="4" t="s">
        <v>72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2:16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2:16">
      <c r="B55" s="4" t="s">
        <v>73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22" sqref="C22"/>
    </sheetView>
  </sheetViews>
  <sheetFormatPr defaultRowHeight="16.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selection activeCell="E7" sqref="E7"/>
    </sheetView>
  </sheetViews>
  <sheetFormatPr defaultRowHeight="16.5"/>
  <cols>
    <col min="2" max="2" width="27.625" bestFit="1" customWidth="1"/>
    <col min="3" max="3" width="13" bestFit="1" customWidth="1"/>
    <col min="5" max="5" width="23" bestFit="1" customWidth="1"/>
  </cols>
  <sheetData>
    <row r="1" spans="1:5">
      <c r="A1" t="s">
        <v>1</v>
      </c>
      <c r="B1" t="s">
        <v>4</v>
      </c>
      <c r="C1" t="s">
        <v>5</v>
      </c>
      <c r="D1" t="s">
        <v>0</v>
      </c>
      <c r="E1" t="s">
        <v>19</v>
      </c>
    </row>
    <row r="2" spans="1:5">
      <c r="A2" t="s">
        <v>2</v>
      </c>
      <c r="B2" t="s">
        <v>6</v>
      </c>
      <c r="C2">
        <v>1</v>
      </c>
      <c r="D2" t="s">
        <v>15</v>
      </c>
      <c r="E2" t="s">
        <v>20</v>
      </c>
    </row>
    <row r="3" spans="1:5">
      <c r="A3" t="s">
        <v>3</v>
      </c>
      <c r="B3" t="s">
        <v>7</v>
      </c>
      <c r="C3">
        <v>2</v>
      </c>
      <c r="D3" t="s">
        <v>16</v>
      </c>
      <c r="E3" t="s">
        <v>21</v>
      </c>
    </row>
    <row r="4" spans="1:5">
      <c r="B4" t="s">
        <v>8</v>
      </c>
      <c r="C4">
        <v>3</v>
      </c>
      <c r="D4" t="s">
        <v>17</v>
      </c>
      <c r="E4" t="s">
        <v>22</v>
      </c>
    </row>
    <row r="5" spans="1:5">
      <c r="B5" t="s">
        <v>9</v>
      </c>
      <c r="C5">
        <v>4</v>
      </c>
      <c r="E5" t="s">
        <v>23</v>
      </c>
    </row>
    <row r="6" spans="1:5">
      <c r="B6" t="s">
        <v>10</v>
      </c>
      <c r="C6">
        <v>5</v>
      </c>
      <c r="E6" t="s">
        <v>24</v>
      </c>
    </row>
    <row r="7" spans="1:5">
      <c r="B7" t="s">
        <v>11</v>
      </c>
      <c r="C7">
        <v>6</v>
      </c>
    </row>
    <row r="8" spans="1:5">
      <c r="B8" t="s">
        <v>12</v>
      </c>
      <c r="C8">
        <v>7</v>
      </c>
    </row>
    <row r="9" spans="1:5">
      <c r="B9" t="s">
        <v>13</v>
      </c>
      <c r="C9">
        <v>8</v>
      </c>
    </row>
    <row r="10" spans="1:5">
      <c r="B10" t="s">
        <v>14</v>
      </c>
      <c r="C10">
        <v>99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작성영역</vt:lpstr>
      <vt:lpstr>작성요령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임채현</dc:creator>
  <cp:lastModifiedBy>김경민</cp:lastModifiedBy>
  <dcterms:created xsi:type="dcterms:W3CDTF">2019-04-30T00:48:46Z</dcterms:created>
  <dcterms:modified xsi:type="dcterms:W3CDTF">2025-11-21T00:36:46Z</dcterms:modified>
</cp:coreProperties>
</file>